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drawings/drawing9.xml" ContentType="application/vnd.openxmlformats-officedocument.drawingml.chartshapes+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31E4F26E46DC42EB/Documents/EXCEL/09 PROJECT/"/>
    </mc:Choice>
  </mc:AlternateContent>
  <xr:revisionPtr revIDLastSave="50" documentId="8_{5C5BBFFC-629F-4AE2-B3E3-BE832D6BEFEC}" xr6:coauthVersionLast="47" xr6:coauthVersionMax="47" xr10:uidLastSave="{3C217B6C-1357-4DDE-825C-83BA70912BD2}"/>
  <bookViews>
    <workbookView xWindow="-120" yWindow="-120" windowWidth="20730" windowHeight="11040" firstSheet="6" activeTab="10" xr2:uid="{9079AA5F-9C53-47D6-AB4C-2EBAE23716B5}"/>
  </bookViews>
  <sheets>
    <sheet name="conversion rate" sheetId="3" r:id="rId1"/>
    <sheet name="Salesperson" sheetId="4" r:id="rId2"/>
    <sheet name="Client Gender" sheetId="6" r:id="rId3"/>
    <sheet name="Inspection" sheetId="7" r:id="rId4"/>
    <sheet name="State" sheetId="8" r:id="rId5"/>
    <sheet name="Product Performance" sheetId="9" r:id="rId6"/>
    <sheet name="days" sheetId="10" r:id="rId7"/>
    <sheet name="Week of the Month" sheetId="11" r:id="rId8"/>
    <sheet name="CORRELATION ANALYSIS" sheetId="12" r:id="rId9"/>
    <sheet name="Data" sheetId="2" r:id="rId10"/>
    <sheet name="Sheet2" sheetId="18" r:id="rId11"/>
  </sheets>
  <definedNames>
    <definedName name="ExternalData_1" localSheetId="9" hidden="1">Data!$A$1:$I$226</definedName>
    <definedName name="Slicer_Client_Gender">#N/A</definedName>
    <definedName name="Slicer_Inspection">#N/A</definedName>
    <definedName name="Slicer_Product">#N/A</definedName>
    <definedName name="Slicer_Sales_Pers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9" l="1" a="1"/>
  <c r="F6" i="9" a="1"/>
  <c r="H4" i="6" a="1"/>
  <c r="G4" i="6" a="1"/>
  <c r="H13" i="7" a="1"/>
  <c r="G13" i="7" a="1"/>
  <c r="I11" i="6" a="1"/>
  <c r="H11" i="6" a="1"/>
  <c r="G11" i="6" a="1"/>
  <c r="G7" i="3"/>
  <c r="D11" i="3"/>
  <c r="J2" i="3" s="1"/>
  <c r="J4" i="3" s="1"/>
  <c r="C25" i="4" a="1"/>
  <c r="I5" i="4" a="1"/>
  <c r="H5" i="4" a="1"/>
  <c r="G5" i="4" a="1"/>
  <c r="B2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EAA7D0-0288-4198-9F3B-AC84B239BDA7}"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<sst xmlns="http://schemas.openxmlformats.org/spreadsheetml/2006/main" count="2191" uniqueCount="293">
  <si>
    <t>Client ID</t>
  </si>
  <si>
    <t xml:space="preserve">Client Gender </t>
  </si>
  <si>
    <t xml:space="preserve">Sales Person </t>
  </si>
  <si>
    <t xml:space="preserve">Date Given </t>
  </si>
  <si>
    <t>Sales</t>
  </si>
  <si>
    <t xml:space="preserve">State       </t>
  </si>
  <si>
    <t>Product</t>
  </si>
  <si>
    <t>Inspection</t>
  </si>
  <si>
    <t>1</t>
  </si>
  <si>
    <t>Female</t>
  </si>
  <si>
    <t>Olumide</t>
  </si>
  <si>
    <t>Paid</t>
  </si>
  <si>
    <t>Lagos</t>
  </si>
  <si>
    <t>Residential</t>
  </si>
  <si>
    <t>Yes</t>
  </si>
  <si>
    <t>2</t>
  </si>
  <si>
    <t>Male</t>
  </si>
  <si>
    <t>Ngozi</t>
  </si>
  <si>
    <t>Not Paid</t>
  </si>
  <si>
    <t>Commercial</t>
  </si>
  <si>
    <t>No</t>
  </si>
  <si>
    <t>3</t>
  </si>
  <si>
    <t>Ahmed</t>
  </si>
  <si>
    <t>Rivers</t>
  </si>
  <si>
    <t>4</t>
  </si>
  <si>
    <t>Funmi</t>
  </si>
  <si>
    <t>5</t>
  </si>
  <si>
    <t>Chukwudi</t>
  </si>
  <si>
    <t>6</t>
  </si>
  <si>
    <t>Chioma</t>
  </si>
  <si>
    <t>7</t>
  </si>
  <si>
    <t>8</t>
  </si>
  <si>
    <t>9</t>
  </si>
  <si>
    <t>Industrial</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</si>
  <si>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</si>
  <si>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</si>
  <si>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</si>
  <si>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</si>
  <si>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</si>
  <si>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</si>
  <si>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</si>
  <si>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</si>
  <si>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</si>
  <si>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</si>
  <si>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</si>
  <si>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</si>
  <si>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</si>
  <si>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</si>
  <si>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</si>
  <si>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</si>
  <si>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</si>
  <si>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</si>
  <si>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</si>
  <si>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</si>
  <si>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</si>
  <si>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</si>
  <si>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</si>
  <si>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</si>
  <si>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</si>
  <si>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</si>
  <si>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</si>
  <si>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</si>
  <si>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</si>
  <si>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</si>
  <si>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</si>
  <si>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</si>
  <si>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</si>
  <si>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</si>
  <si>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</si>
  <si>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</si>
  <si>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</si>
  <si>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</si>
  <si>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</si>
  <si>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</si>
  <si>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</si>
  <si>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</si>
  <si>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</si>
  <si>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</si>
  <si>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</si>
  <si>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</si>
  <si>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</si>
  <si>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</si>
  <si>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</si>
  <si>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</si>
  <si>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</si>
  <si>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</si>
  <si>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</si>
  <si>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</si>
  <si>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</si>
  <si>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</si>
  <si>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</si>
  <si>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</si>
  <si>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</si>
  <si>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</si>
  <si>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</si>
  <si>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</si>
  <si>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</si>
  <si>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</si>
  <si>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</si>
  <si>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</si>
  <si>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</si>
  <si>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</si>
  <si>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</si>
  <si>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</si>
  <si>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</si>
  <si>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</si>
  <si>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</si>
  <si>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</si>
  <si>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</si>
  <si>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</si>
  <si>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</si>
  <si>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</si>
  <si>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</si>
  <si>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</si>
  <si>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</si>
  <si>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</si>
  <si>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</si>
  <si>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</si>
  <si>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</si>
  <si>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</si>
  <si>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</si>
  <si>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</si>
  <si>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</si>
  <si>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</si>
  <si>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</si>
  <si>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</si>
  <si>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</si>
  <si>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</si>
  <si>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</si>
  <si>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</si>
  <si>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</si>
  <si>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</si>
  <si>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</si>
  <si>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</si>
  <si>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</si>
  <si>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</si>
  <si>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</si>
  <si>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</si>
  <si>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</si>
  <si>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</si>
  <si>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</si>
  <si>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</si>
  <si>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</si>
  <si>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</si>
  <si>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</si>
  <si>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</si>
  <si>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</si>
  <si>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</si>
  <si>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</si>
  <si>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</si>
  <si>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</si>
  <si>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</si>
  <si>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</si>
  <si>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</si>
  <si>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</si>
  <si>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</si>
  <si>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</si>
  <si>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</si>
  <si>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</si>
  <si>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</si>
  <si>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</si>
  <si>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</si>
  <si>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</si>
  <si>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</si>
  <si>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</si>
  <si>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</si>
  <si>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</si>
  <si>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</si>
  <si>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</si>
  <si>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</si>
  <si>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</si>
  <si>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</si>
  <si>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</si>
  <si>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</si>
  <si>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</si>
  <si>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</si>
  <si>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</si>
  <si>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</si>
  <si>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</si>
  <si>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</si>
  <si>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</si>
  <si>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</si>
  <si>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</si>
  <si>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</si>
  <si>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</si>
  <si>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</si>
  <si>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</si>
  <si>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</si>
  <si>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</si>
  <si>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</si>
  <si>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</si>
  <si>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</si>
  <si>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</si>
  <si>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</si>
  <si>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</si>
  <si>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</si>
  <si>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</si>
  <si>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</si>
  <si>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</si>
  <si>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</si>
  <si>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</si>
  <si>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</si>
  <si>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</si>
  <si>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</si>
  <si>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</si>
  <si>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</si>
  <si>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</si>
  <si>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</si>
  <si>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</si>
  <si>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</si>
  <si>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</si>
  <si>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</si>
  <si>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</si>
  <si>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</si>
  <si>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</si>
  <si>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</si>
  <si>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</si>
  <si>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</si>
  <si>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</si>
  <si>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</si>
  <si>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</si>
  <si>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</si>
  <si>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</si>
  <si>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</si>
  <si>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</si>
  <si>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</si>
  <si>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</si>
  <si>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</si>
  <si>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</si>
  <si>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</si>
  <si>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</si>
  <si>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</si>
  <si>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</si>
  <si>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</si>
  <si>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</si>
  <si>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</si>
  <si>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</si>
  <si>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</si>
  <si>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</si>
  <si>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</si>
  <si>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</si>
  <si>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</si>
  <si>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</si>
  <si>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</si>
  <si>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</si>
  <si>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</si>
  <si>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</si>
  <si>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</si>
  <si>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</si>
  <si>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</si>
  <si>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Row Labels</t>
  </si>
  <si>
    <t>Grand Total</t>
  </si>
  <si>
    <t>Count of Client ID</t>
  </si>
  <si>
    <t>Column Labels</t>
  </si>
  <si>
    <t>Week of Month</t>
  </si>
  <si>
    <t>Week 1</t>
  </si>
  <si>
    <t>Week 2</t>
  </si>
  <si>
    <t>Week 3</t>
  </si>
  <si>
    <t>Week 4</t>
  </si>
  <si>
    <t>Week 5</t>
  </si>
  <si>
    <t>cr</t>
  </si>
  <si>
    <t>sale person</t>
  </si>
  <si>
    <t>salesperson</t>
  </si>
  <si>
    <t>client</t>
  </si>
  <si>
    <t>leads</t>
  </si>
  <si>
    <t>PART</t>
  </si>
  <si>
    <t>LABEL</t>
  </si>
  <si>
    <t>RED</t>
  </si>
  <si>
    <t>ORANGE</t>
  </si>
  <si>
    <t>YELLOW</t>
  </si>
  <si>
    <t>WHITE</t>
  </si>
  <si>
    <t>BALANCE</t>
  </si>
  <si>
    <t>TOTAL</t>
  </si>
  <si>
    <t>`LABEL</t>
  </si>
  <si>
    <t>CR</t>
  </si>
  <si>
    <t>POINTER</t>
  </si>
  <si>
    <t>CLIENT</t>
  </si>
  <si>
    <t>PROSPECT</t>
  </si>
  <si>
    <t>GENDER</t>
  </si>
  <si>
    <t>INSPECTION</t>
  </si>
  <si>
    <t xml:space="preserve">NO </t>
  </si>
  <si>
    <t>YES</t>
  </si>
  <si>
    <t>PERCENTAGE PAID</t>
  </si>
  <si>
    <t>not paid</t>
  </si>
  <si>
    <t>Week</t>
  </si>
  <si>
    <t>Client</t>
  </si>
  <si>
    <t>Leads</t>
  </si>
  <si>
    <t>Totals</t>
  </si>
  <si>
    <t>State</t>
  </si>
  <si>
    <t>Customers</t>
  </si>
  <si>
    <t>Total</t>
  </si>
  <si>
    <t>Lead</t>
  </si>
  <si>
    <t>Prospect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</si>
</sst>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
      <patternFill patternType="solid">
        <fgColor theme="4" tint="0.79998168889431442"/>
        <bgColor indexed="64"/>
      </patternFill>
    </fill>
  </fills>
  <borders count="4">
    <border>
      <left/>
      <right/>
      <top/>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14" fontId="0" fillId="0" borderId="0" xfId="0" applyNumberFormat="1" applyAlignment="1">
      <alignment horizontal="left"/>
    </xf>
    <xf numFmtId="0" fontId="2" fillId="2" borderId="1" xfId="0" applyFont="1" applyFill="1" applyBorder="1"/>
    <xf numFmtId="0" fontId="0" fillId="0" borderId="2" xfId="0" applyBorder="1"/>
    <xf numFmtId="0" fontId="3" fillId="0" borderId="3" xfId="0" applyFont="1" applyBorder="1" applyAlignment="1">
      <alignment horizontal="center"/>
    </xf>
    <xf numFmtId="9" fontId="0" fillId="0" borderId="0" xfId="0" applyNumberFormat="1"/>
    <xf numFmtId="9" fontId="0" fillId="0" borderId="0" xfId="1" applyFont="1"/>
    <xf numFmtId="164" fontId="0" fillId="0" borderId="0" xfId="1" applyNumberFormat="1" applyFont="1"/>
    <xf numFmtId="164" fontId="0" fillId="0" borderId="0" xfId="0" applyNumberFormat="1"/>
    <xf numFmtId="0" fontId="0" fillId="3" borderId="0" xfId="0" applyFill="1"/>
    <xf numFmtId="0" fontId="0" fillId="4" borderId="0" xfId="0" applyFill="1"/>
  </cellXfs>
  <cellStyles count="2">
    <cellStyle name="Normal" xfId="0" builtinId="0"/>
    <cellStyle name="Percent" xfId="1" builtinId="5"/>
  </cellStyles>
  <dxfs count="37">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1"/>
      </font>
    </dxf>
    <dxf>
      <font>
        <color theme="1"/>
      </font>
    </dxf>
    <dxf>
      <font>
        <color theme="1"/>
      </font>
    </dxf>
    <dxf>
      <font>
        <color theme="1"/>
      </font>
    </dxf>
    <dxf>
      <font>
        <color theme="1"/>
      </font>
    </dxf>
    <dxf>
      <font>
        <color theme="1"/>
      </font>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s>
  <tableStyles count="4" defaultTableStyle="TableStyleMedium2" defaultPivotStyle="PivotStyleLight16">
    <tableStyle name="Slicer Style 1" pivot="0" table="0" count="2" xr9:uid="{D54A0804-2027-4AAA-B226-F43019DDDE17}">
      <tableStyleElement type="wholeTable" dxfId="36"/>
    </tableStyle>
    <tableStyle name="Slicer Style 2" pivot="0" table="0" count="2" xr9:uid="{31110D58-E19D-4A1E-A2B4-21728ED3B22F}">
      <tableStyleElement type="wholeTable" dxfId="35"/>
    </tableStyle>
    <tableStyle name="Slicer Style 3" pivot="0" table="0" count="2" xr9:uid="{604809E4-0787-4D53-8BC1-4BCDC519A430}">
      <tableStyleElement type="wholeTable" dxfId="34"/>
    </tableStyle>
    <tableStyle name="Slicer Style 4" pivot="0" table="0" count="2" xr9:uid="{89657F14-68E3-487A-A497-8D6ECF960D17}">
      <tableStyleElement type="wholeTable" dxfId="33"/>
    </tableStyle>
  </tableStyles>
  <colors>
    <mruColors>
      <color rgb="FF00FFFF"/>
      <color rgb="FFFFFF00"/>
      <color rgb="FF5EF4B0"/>
      <color rgb="FFD60093"/>
      <color rgb="FF993300"/>
      <color rgb="FF008080"/>
      <color rgb="FF66FF33"/>
      <color rgb="FF66FFFF"/>
      <color rgb="FF47E7CC"/>
      <color rgb="FF66BABE"/>
    </mruColors>
  </colors>
  <extLst>
    <ext xmlns:x14="http://schemas.microsoft.com/office/spreadsheetml/2009/9/main" uri="{46F421CA-312F-682f-3DD2-61675219B42D}">
      <x14:dxfs count="4">
        <dxf>
          <fill>
            <patternFill>
              <bgColor rgb="FF00FFFF"/>
            </patternFill>
          </fill>
        </dxf>
        <dxf>
          <fill>
            <patternFill>
              <bgColor rgb="FFFF0000"/>
            </patternFill>
          </fill>
        </dxf>
        <dxf>
          <fill>
            <patternFill>
              <bgColor rgb="FFFFFF00"/>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s>
        </x14:slicerStyle>
        <x14:slicerStyle name="Slicer Style 2">
          <x14:slicerStyleElements>
            <x14:slicerStyleElement type="selectedItemWithData" dxfId="2"/>
          </x14:slicerStyleElements>
        </x14:slicerStyle>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'conversion rate'!$J$1</c:f>
              <c:strCache>
                <c:ptCount val="1"/>
                <c:pt idx="0">
                  <c:v>PART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16-436C-8AA2-A23DB2AC09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16-436C-8AA2-A23DB2AC09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16-436C-8AA2-A23DB2AC0941}"/>
              </c:ext>
            </c:extLst>
          </c:dPt>
          <c:cat>
            <c:strRef>
              <c:f>'conversion rate'!$I$2:$I$4</c:f>
              <c:strCache>
                <c:ptCount val="3"/>
                <c:pt idx="0">
                  <c:v>CR</c:v>
                </c:pt>
                <c:pt idx="1">
                  <c:v>POINTER</c:v>
                </c:pt>
                <c:pt idx="2">
                  <c:v>BALANCE</c:v>
                </c:pt>
              </c:strCache>
            </c:strRef>
          </c:cat>
          <c:val>
            <c:numRef>
              <c:f>'conversion rate'!$J$2:$J$4</c:f>
              <c:numCache>
                <c:formatCode>0%</c:formatCode>
                <c:ptCount val="3"/>
                <c:pt idx="0" formatCode="0.00%">
                  <c:v>0.44444444444444442</c:v>
                </c:pt>
                <c:pt idx="1">
                  <c:v>0.02</c:v>
                </c:pt>
                <c:pt idx="2" formatCode="0.00%">
                  <c:v>1.5355555555555556</c:v>
                </c:pt>
              </c:numCache>
            </c:numRef>
          </c:val>
          <c:extLst>
            <c:ext xmlns:c16="http://schemas.microsoft.com/office/drawing/2014/chart" uri="{C3380CC4-5D6E-409C-BE32-E72D297353CC}">
              <c16:uniqueId val="{00000000-6144-4348-8D4C-88D62EFCCB3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1"/>
          <c:order val="0"/>
          <c:tx>
            <c:strRef>
              <c:f>'conversion rate'!$G$1</c:f>
              <c:strCache>
                <c:ptCount val="1"/>
                <c:pt idx="0">
                  <c:v>PART</c:v>
                </c:pt>
              </c:strCache>
            </c:strRef>
          </c:tx>
          <c:dPt>
            <c:idx val="0"/>
            <c:bubble3D val="0"/>
            <c:spPr>
              <a:solidFill>
                <a:srgbClr val="FF0000"/>
              </a:solidFill>
            </c:spPr>
            <c:extLst>
              <c:ext xmlns:c16="http://schemas.microsoft.com/office/drawing/2014/chart" uri="{C3380CC4-5D6E-409C-BE32-E72D297353CC}">
                <c16:uniqueId val="{0000000A-17F2-40E7-8B1A-529EAF53AB08}"/>
              </c:ext>
            </c:extLst>
          </c:dPt>
          <c:dPt>
            <c:idx val="1"/>
            <c:bubble3D val="0"/>
            <c:spPr>
              <a:solidFill>
                <a:schemeClr val="accent3">
                  <a:lumMod val="40000"/>
                  <a:lumOff val="60000"/>
                </a:schemeClr>
              </a:solidFill>
            </c:spPr>
            <c:extLst>
              <c:ext xmlns:c16="http://schemas.microsoft.com/office/drawing/2014/chart" uri="{C3380CC4-5D6E-409C-BE32-E72D297353CC}">
                <c16:uniqueId val="{00000008-17F2-40E7-8B1A-529EAF53AB08}"/>
              </c:ext>
            </c:extLst>
          </c:dPt>
          <c:dPt>
            <c:idx val="2"/>
            <c:bubble3D val="0"/>
            <c:spPr>
              <a:solidFill>
                <a:srgbClr val="FFFF00"/>
              </a:solidFill>
            </c:spPr>
            <c:extLst>
              <c:ext xmlns:c16="http://schemas.microsoft.com/office/drawing/2014/chart" uri="{C3380CC4-5D6E-409C-BE32-E72D297353CC}">
                <c16:uniqueId val="{00000009-17F2-40E7-8B1A-529EAF53AB08}"/>
              </c:ext>
            </c:extLst>
          </c:dPt>
          <c:dPt>
            <c:idx val="4"/>
            <c:bubble3D val="0"/>
            <c:spPr>
              <a:noFill/>
            </c:spPr>
            <c:extLst>
              <c:ext xmlns:c16="http://schemas.microsoft.com/office/drawing/2014/chart" uri="{C3380CC4-5D6E-409C-BE32-E72D297353CC}">
                <c16:uniqueId val="{0000000A-04A6-4A07-8041-31B35398EFFA}"/>
              </c:ext>
            </c:extLst>
          </c:dPt>
          <c:val>
            <c:numRef>
              <c:f>'conversion rate'!$G$2:$G$6</c:f>
              <c:numCache>
                <c:formatCode>0%</c:formatCode>
                <c:ptCount val="5"/>
                <c:pt idx="0">
                  <c:v>0.25</c:v>
                </c:pt>
                <c:pt idx="1">
                  <c:v>0.25</c:v>
                </c:pt>
                <c:pt idx="2">
                  <c:v>0.25</c:v>
                </c:pt>
                <c:pt idx="3">
                  <c:v>0.25</c:v>
                </c:pt>
                <c:pt idx="4">
                  <c:v>1</c:v>
                </c:pt>
              </c:numCache>
            </c:numRef>
          </c:val>
          <c:extLst>
            <c:ext xmlns:c16="http://schemas.microsoft.com/office/drawing/2014/chart" uri="{C3380CC4-5D6E-409C-BE32-E72D297353CC}">
              <c16:uniqueId val="{00000009-04A6-4A07-8041-31B35398EFFA}"/>
            </c:ext>
          </c:extLst>
        </c:ser>
        <c:dLbls>
          <c:showLegendKey val="0"/>
          <c:showVal val="0"/>
          <c:showCatName val="0"/>
          <c:showSerName val="0"/>
          <c:showPercent val="0"/>
          <c:showBubbleSize val="0"/>
          <c:showLeaderLines val="0"/>
        </c:dLbls>
        <c:firstSliceAng val="270"/>
        <c:holeSize val="50"/>
      </c:doughnutChart>
      <c:pieChart>
        <c:varyColors val="1"/>
        <c:ser>
          <c:idx val="0"/>
          <c:order val="1"/>
          <c:tx>
            <c:strRef>
              <c:f>'conversion rate'!$J$1</c:f>
              <c:strCache>
                <c:ptCount val="1"/>
                <c:pt idx="0">
                  <c:v>PART</c:v>
                </c:pt>
              </c:strCache>
            </c:strRef>
          </c:tx>
          <c:dPt>
            <c:idx val="0"/>
            <c:bubble3D val="0"/>
            <c:spPr>
              <a:noFill/>
              <a:effectLst/>
            </c:spPr>
            <c:extLst>
              <c:ext xmlns:c16="http://schemas.microsoft.com/office/drawing/2014/chart" uri="{C3380CC4-5D6E-409C-BE32-E72D297353CC}">
                <c16:uniqueId val="{00000003-04A6-4A07-8041-31B35398EFFA}"/>
              </c:ext>
            </c:extLst>
          </c:dPt>
          <c:dPt>
            <c:idx val="1"/>
            <c:bubble3D val="0"/>
            <c:spPr>
              <a:solidFill>
                <a:schemeClr val="accent2"/>
              </a:solidFill>
              <a:effectLst/>
            </c:spPr>
            <c:extLst>
              <c:ext xmlns:c16="http://schemas.microsoft.com/office/drawing/2014/chart" uri="{C3380CC4-5D6E-409C-BE32-E72D297353CC}">
                <c16:uniqueId val="{00000005-04A6-4A07-8041-31B35398EFFA}"/>
              </c:ext>
            </c:extLst>
          </c:dPt>
          <c:dPt>
            <c:idx val="2"/>
            <c:bubble3D val="0"/>
            <c:spPr>
              <a:noFill/>
              <a:effectLst/>
            </c:spPr>
            <c:extLst>
              <c:ext xmlns:c16="http://schemas.microsoft.com/office/drawing/2014/chart" uri="{C3380CC4-5D6E-409C-BE32-E72D297353CC}">
                <c16:uniqueId val="{00000007-04A6-4A07-8041-31B35398EFFA}"/>
              </c:ext>
            </c:extLst>
          </c:dPt>
          <c:cat>
            <c:strRef>
              <c:f>'conversion rate'!$I$2:$I$4</c:f>
              <c:strCache>
                <c:ptCount val="3"/>
                <c:pt idx="0">
                  <c:v>CR</c:v>
                </c:pt>
                <c:pt idx="1">
                  <c:v>POINTER</c:v>
                </c:pt>
                <c:pt idx="2">
                  <c:v>BALANCE</c:v>
                </c:pt>
              </c:strCache>
            </c:strRef>
          </c:cat>
          <c:val>
            <c:numRef>
              <c:f>'conversion rate'!$J$2:$J$4</c:f>
              <c:numCache>
                <c:formatCode>0%</c:formatCode>
                <c:ptCount val="3"/>
                <c:pt idx="0" formatCode="0.00%">
                  <c:v>0.44444444444444442</c:v>
                </c:pt>
                <c:pt idx="1">
                  <c:v>0.02</c:v>
                </c:pt>
                <c:pt idx="2" formatCode="0.00%">
                  <c:v>1.5355555555555556</c:v>
                </c:pt>
              </c:numCache>
            </c:numRef>
          </c:val>
          <c:extLst>
            <c:ext xmlns:c16="http://schemas.microsoft.com/office/drawing/2014/chart" uri="{C3380CC4-5D6E-409C-BE32-E72D297353CC}">
              <c16:uniqueId val="{00000008-04A6-4A07-8041-31B35398EFFA}"/>
            </c:ext>
          </c:extLst>
        </c:ser>
        <c:dLbls>
          <c:showLegendKey val="0"/>
          <c:showVal val="0"/>
          <c:showCatName val="0"/>
          <c:showSerName val="0"/>
          <c:showPercent val="0"/>
          <c:showBubbleSize val="0"/>
          <c:showLeaderLines val="1"/>
        </c:dLbls>
        <c:firstSliceAng val="270"/>
      </c:pieChart>
    </c:plotArea>
    <c:plotVisOnly val="1"/>
    <c:dispBlanksAs val="gap"/>
    <c:showDLblsOverMax val="0"/>
    <c:extLst/>
  </c:chart>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Salesperson!$H$4</c:f>
              <c:strCache>
                <c:ptCount val="1"/>
                <c:pt idx="0">
                  <c:v>client</c:v>
                </c:pt>
              </c:strCache>
            </c:strRef>
          </c:tx>
          <c:spPr>
            <a:solidFill>
              <a:schemeClr val="accent1"/>
            </a:solidFill>
            <a:ln>
              <a:noFill/>
            </a:ln>
            <a:effectLst/>
          </c:spPr>
          <c:invertIfNegative val="0"/>
          <c:cat>
            <c:strRef>
              <c:f>Salesperson!$G$5:$G$10</c:f>
              <c:strCache>
                <c:ptCount val="6"/>
                <c:pt idx="0">
                  <c:v>Ahmed</c:v>
                </c:pt>
                <c:pt idx="1">
                  <c:v>Chioma</c:v>
                </c:pt>
                <c:pt idx="2">
                  <c:v>Chukwudi</c:v>
                </c:pt>
                <c:pt idx="3">
                  <c:v>Funmi</c:v>
                </c:pt>
                <c:pt idx="4">
                  <c:v>Ngozi</c:v>
                </c:pt>
                <c:pt idx="5">
                  <c:v>Olumide</c:v>
                </c:pt>
              </c:strCache>
            </c:strRef>
          </c:cat>
          <c:val>
            <c:numRef>
              <c:f>Salesperson!$H$5:$H$10</c:f>
              <c:numCache>
                <c:formatCode>General</c:formatCode>
                <c:ptCount val="6"/>
                <c:pt idx="0">
                  <c:v>5</c:v>
                </c:pt>
                <c:pt idx="1">
                  <c:v>20</c:v>
                </c:pt>
                <c:pt idx="2">
                  <c:v>18</c:v>
                </c:pt>
                <c:pt idx="3">
                  <c:v>28</c:v>
                </c:pt>
                <c:pt idx="4">
                  <c:v>15</c:v>
                </c:pt>
                <c:pt idx="5">
                  <c:v>14</c:v>
                </c:pt>
              </c:numCache>
            </c:numRef>
          </c:val>
          <c:extLst>
            <c:ext xmlns:c16="http://schemas.microsoft.com/office/drawing/2014/chart" uri="{C3380CC4-5D6E-409C-BE32-E72D297353CC}">
              <c16:uniqueId val="{00000000-513D-4BC8-90AA-18E4C94A43AC}"/>
            </c:ext>
          </c:extLst>
        </c:ser>
        <c:ser>
          <c:idx val="1"/>
          <c:order val="1"/>
          <c:tx>
            <c:strRef>
              <c:f>Salesperson!$I$4</c:f>
              <c:strCache>
                <c:ptCount val="1"/>
                <c:pt idx="0">
                  <c:v>leads</c:v>
                </c:pt>
              </c:strCache>
            </c:strRef>
          </c:tx>
          <c:spPr>
            <a:solidFill>
              <a:schemeClr val="accent2"/>
            </a:solidFill>
            <a:ln>
              <a:noFill/>
            </a:ln>
            <a:effectLst/>
          </c:spPr>
          <c:invertIfNegative val="0"/>
          <c:cat>
            <c:strRef>
              <c:f>Salesperson!$G$5:$G$10</c:f>
              <c:strCache>
                <c:ptCount val="6"/>
                <c:pt idx="0">
                  <c:v>Ahmed</c:v>
                </c:pt>
                <c:pt idx="1">
                  <c:v>Chioma</c:v>
                </c:pt>
                <c:pt idx="2">
                  <c:v>Chukwudi</c:v>
                </c:pt>
                <c:pt idx="3">
                  <c:v>Funmi</c:v>
                </c:pt>
                <c:pt idx="4">
                  <c:v>Ngozi</c:v>
                </c:pt>
                <c:pt idx="5">
                  <c:v>Olumide</c:v>
                </c:pt>
              </c:strCache>
            </c:strRef>
          </c:cat>
          <c:val>
            <c:numRef>
              <c:f>Salesperson!$I$5:$I$10</c:f>
              <c:numCache>
                <c:formatCode>General</c:formatCode>
                <c:ptCount val="6"/>
                <c:pt idx="0">
                  <c:v>22</c:v>
                </c:pt>
                <c:pt idx="1">
                  <c:v>48</c:v>
                </c:pt>
                <c:pt idx="2">
                  <c:v>43</c:v>
                </c:pt>
                <c:pt idx="3">
                  <c:v>49</c:v>
                </c:pt>
                <c:pt idx="4">
                  <c:v>21</c:v>
                </c:pt>
                <c:pt idx="5">
                  <c:v>42</c:v>
                </c:pt>
              </c:numCache>
            </c:numRef>
          </c:val>
          <c:extLst>
            <c:ext xmlns:c16="http://schemas.microsoft.com/office/drawing/2014/chart" uri="{C3380CC4-5D6E-409C-BE32-E72D297353CC}">
              <c16:uniqueId val="{00000001-513D-4BC8-90AA-18E4C94A43AC}"/>
            </c:ext>
          </c:extLst>
        </c:ser>
        <c:dLbls>
          <c:showLegendKey val="0"/>
          <c:showVal val="0"/>
          <c:showCatName val="0"/>
          <c:showSerName val="0"/>
          <c:showPercent val="0"/>
          <c:showBubbleSize val="0"/>
        </c:dLbls>
        <c:gapWidth val="219"/>
        <c:overlap val="-27"/>
        <c:axId val="414504848"/>
        <c:axId val="1744167248"/>
      </c:barChart>
      <c:catAx>
        <c:axId val="41450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4167248"/>
        <c:crosses val="autoZero"/>
        <c:auto val="1"/>
        <c:lblAlgn val="ctr"/>
        <c:lblOffset val="100"/>
        <c:noMultiLvlLbl val="0"/>
      </c:catAx>
      <c:valAx>
        <c:axId val="174416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1450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spPr>
            <a:solidFill>
              <a:schemeClr val="accent1"/>
            </a:solidFill>
            <a:ln>
              <a:noFill/>
            </a:ln>
            <a:effectLst/>
          </c:spPr>
          <c:invertIfNegative val="0"/>
          <c:dLbls>
            <c:dLbl>
              <c:idx val="0"/>
              <c:tx>
                <c:rich>
                  <a:bodyPr/>
                  <a:lstStyle/>
                  <a:p>
                    <a:fld id="{334F43E3-22EA-40C3-A760-C0AB32B8C8F9}"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09C-40DF-80B4-400BEF14EC35}"/>
                </c:ext>
              </c:extLst>
            </c:dLbl>
            <c:dLbl>
              <c:idx val="1"/>
              <c:tx>
                <c:rich>
                  <a:bodyPr/>
                  <a:lstStyle/>
                  <a:p>
                    <a:fld id="{1F739596-4CA4-466B-878B-6ADBE427CD93}"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09C-40DF-80B4-400BEF14EC35}"/>
                </c:ext>
              </c:extLst>
            </c:dLbl>
            <c:dLbl>
              <c:idx val="2"/>
              <c:tx>
                <c:rich>
                  <a:bodyPr/>
                  <a:lstStyle/>
                  <a:p>
                    <a:fld id="{A9EFC659-D126-4687-BE35-3EF320FDF3B8}"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09C-40DF-80B4-400BEF14EC35}"/>
                </c:ext>
              </c:extLst>
            </c:dLbl>
            <c:dLbl>
              <c:idx val="3"/>
              <c:tx>
                <c:rich>
                  <a:bodyPr/>
                  <a:lstStyle/>
                  <a:p>
                    <a:fld id="{71B55A10-B3CD-49BF-9E18-DC4DC9E77173}"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09C-40DF-80B4-400BEF14EC35}"/>
                </c:ext>
              </c:extLst>
            </c:dLbl>
            <c:dLbl>
              <c:idx val="4"/>
              <c:tx>
                <c:rich>
                  <a:bodyPr/>
                  <a:lstStyle/>
                  <a:p>
                    <a:fld id="{AD25ACFD-D1F5-43AD-A8D9-57D3403A99BE}"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09C-40DF-80B4-400BEF14EC35}"/>
                </c:ext>
              </c:extLst>
            </c:dLbl>
            <c:dLbl>
              <c:idx val="5"/>
              <c:tx>
                <c:rich>
                  <a:bodyPr/>
                  <a:lstStyle/>
                  <a:p>
                    <a:fld id="{76E35626-1765-4A61-84FD-2F6B9CA6253C}"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09C-40DF-80B4-400BEF14EC3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Salesperson!$A$25:$A$30</c:f>
              <c:strCache>
                <c:ptCount val="6"/>
                <c:pt idx="0">
                  <c:v>Ahmed</c:v>
                </c:pt>
                <c:pt idx="1">
                  <c:v>Chioma</c:v>
                </c:pt>
                <c:pt idx="2">
                  <c:v>Chukwudi</c:v>
                </c:pt>
                <c:pt idx="3">
                  <c:v>Funmi</c:v>
                </c:pt>
                <c:pt idx="4">
                  <c:v>Ngozi</c:v>
                </c:pt>
                <c:pt idx="5">
                  <c:v>Olumide</c:v>
                </c:pt>
              </c:strCache>
            </c:strRef>
          </c:cat>
          <c:val>
            <c:numRef>
              <c:f>Salesperson!$C$25:$C$30</c:f>
              <c:numCache>
                <c:formatCode>0.00%</c:formatCode>
                <c:ptCount val="6"/>
                <c:pt idx="0">
                  <c:v>-0.27272727272727298</c:v>
                </c:pt>
                <c:pt idx="1">
                  <c:v>-8.3333333333333315E-2</c:v>
                </c:pt>
                <c:pt idx="2">
                  <c:v>-8.139534883720928E-2</c:v>
                </c:pt>
                <c:pt idx="3">
                  <c:v>7.1428571428571397E-2</c:v>
                </c:pt>
                <c:pt idx="4">
                  <c:v>0.2142857142857143</c:v>
                </c:pt>
                <c:pt idx="5">
                  <c:v>-0.16666666666666669</c:v>
                </c:pt>
              </c:numCache>
            </c:numRef>
          </c:val>
          <c:extLst>
            <c:ext xmlns:c15="http://schemas.microsoft.com/office/drawing/2012/chart" uri="{02D57815-91ED-43cb-92C2-25804820EDAC}">
              <c15:datalabelsRange>
                <c15:f>Salesperson!$B$25:$B$30</c15:f>
                <c15:dlblRangeCache>
                  <c:ptCount val="6"/>
                  <c:pt idx="0">
                    <c:v>22.73%</c:v>
                  </c:pt>
                  <c:pt idx="1">
                    <c:v>41.67%</c:v>
                  </c:pt>
                  <c:pt idx="2">
                    <c:v>41.86%</c:v>
                  </c:pt>
                  <c:pt idx="3">
                    <c:v>57.14%</c:v>
                  </c:pt>
                  <c:pt idx="4">
                    <c:v>71.43%</c:v>
                  </c:pt>
                  <c:pt idx="5">
                    <c:v>33.33%</c:v>
                  </c:pt>
                </c15:dlblRangeCache>
              </c15:datalabelsRange>
            </c:ext>
            <c:ext xmlns:c16="http://schemas.microsoft.com/office/drawing/2014/chart" uri="{C3380CC4-5D6E-409C-BE32-E72D297353CC}">
              <c16:uniqueId val="{00000000-809C-40DF-80B4-400BEF14EC35}"/>
            </c:ext>
          </c:extLst>
        </c:ser>
        <c:dLbls>
          <c:dLblPos val="outEnd"/>
          <c:showLegendKey val="0"/>
          <c:showVal val="1"/>
          <c:showCatName val="0"/>
          <c:showSerName val="0"/>
          <c:showPercent val="0"/>
          <c:showBubbleSize val="0"/>
        </c:dLbls>
        <c:gapWidth val="219"/>
        <c:overlap val="-27"/>
        <c:axId val="414487216"/>
        <c:axId val="405160816"/>
      </c:barChart>
      <c:catAx>
        <c:axId val="414487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 b="0" i="0" u="none" strike="noStrike" kern="1200" baseline="0">
                <a:solidFill>
                  <a:schemeClr val="tx1">
                    <a:lumMod val="65000"/>
                    <a:lumOff val="35000"/>
                  </a:schemeClr>
                </a:solidFill>
                <a:latin typeface="+mn-lt"/>
                <a:ea typeface="+mn-ea"/>
                <a:cs typeface="+mn-cs"/>
              </a:defRPr>
            </a:pPr>
            <a:endParaRPr lang="en-NG"/>
          </a:p>
        </c:txPr>
        <c:crossAx val="405160816"/>
        <c:crosses val="autoZero"/>
        <c:auto val="1"/>
        <c:lblAlgn val="ctr"/>
        <c:lblOffset val="100"/>
        <c:noMultiLvlLbl val="0"/>
      </c:catAx>
      <c:valAx>
        <c:axId val="405160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1448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percentStacked"/>
        <c:varyColors val="0"/>
        <c:ser>
          <c:idx val="0"/>
          <c:order val="0"/>
          <c:tx>
            <c:strRef>
              <c:f>'Client Gender'!$H$10</c:f>
              <c:strCache>
                <c:ptCount val="1"/>
                <c:pt idx="0">
                  <c:v>CLIENT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 Gender'!$G$11</c:f>
              <c:strCache>
                <c:ptCount val="1"/>
                <c:pt idx="0">
                  <c:v>Female</c:v>
                </c:pt>
              </c:strCache>
            </c:strRef>
          </c:cat>
          <c:val>
            <c:numRef>
              <c:f>'Client Gender'!$H$11</c:f>
              <c:numCache>
                <c:formatCode>0.00%</c:formatCode>
                <c:ptCount val="1"/>
                <c:pt idx="0">
                  <c:v>0.21774193548387097</c:v>
                </c:pt>
              </c:numCache>
            </c:numRef>
          </c:val>
          <c:extLst>
            <c:ext xmlns:c16="http://schemas.microsoft.com/office/drawing/2014/chart" uri="{C3380CC4-5D6E-409C-BE32-E72D297353CC}">
              <c16:uniqueId val="{00000000-9624-4C93-BAD6-BA6FE28C1873}"/>
            </c:ext>
          </c:extLst>
        </c:ser>
        <c:ser>
          <c:idx val="1"/>
          <c:order val="1"/>
          <c:tx>
            <c:strRef>
              <c:f>'Client Gender'!$I$10</c:f>
              <c:strCache>
                <c:ptCount val="1"/>
                <c:pt idx="0">
                  <c:v>PROSPECT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 Gender'!$G$11</c:f>
              <c:strCache>
                <c:ptCount val="1"/>
                <c:pt idx="0">
                  <c:v>Female</c:v>
                </c:pt>
              </c:strCache>
            </c:strRef>
          </c:cat>
          <c:val>
            <c:numRef>
              <c:f>'Client Gender'!$I$11</c:f>
              <c:numCache>
                <c:formatCode>0.00%</c:formatCode>
                <c:ptCount val="1"/>
                <c:pt idx="0">
                  <c:v>0.782258064516129</c:v>
                </c:pt>
              </c:numCache>
            </c:numRef>
          </c:val>
          <c:extLst>
            <c:ext xmlns:c16="http://schemas.microsoft.com/office/drawing/2014/chart" uri="{C3380CC4-5D6E-409C-BE32-E72D297353CC}">
              <c16:uniqueId val="{00000001-9624-4C93-BAD6-BA6FE28C1873}"/>
            </c:ext>
          </c:extLst>
        </c:ser>
        <c:dLbls>
          <c:dLblPos val="ctr"/>
          <c:showLegendKey val="0"/>
          <c:showVal val="1"/>
          <c:showCatName val="0"/>
          <c:showSerName val="0"/>
          <c:showPercent val="0"/>
          <c:showBubbleSize val="0"/>
        </c:dLbls>
        <c:gapWidth val="150"/>
        <c:overlap val="100"/>
        <c:axId val="414513664"/>
        <c:axId val="1744208048"/>
      </c:barChart>
      <c:catAx>
        <c:axId val="41451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4208048"/>
        <c:crosses val="autoZero"/>
        <c:auto val="1"/>
        <c:lblAlgn val="ctr"/>
        <c:lblOffset val="100"/>
        <c:noMultiLvlLbl val="0"/>
      </c:catAx>
      <c:valAx>
        <c:axId val="17442080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1451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8.9005685028555534E-2"/>
          <c:y val="0.19964183140305733"/>
          <c:w val="0.85231117273272539"/>
          <c:h val="0.60591781169818226"/>
        </c:manualLayout>
      </c:layout>
      <c:barChart>
        <c:barDir val="bar"/>
        <c:grouping val="percentStacked"/>
        <c:varyColors val="0"/>
        <c:ser>
          <c:idx val="0"/>
          <c:order val="0"/>
          <c:tx>
            <c:strRef>
              <c:f>'Client Gender'!$H$10</c:f>
              <c:strCache>
                <c:ptCount val="1"/>
                <c:pt idx="0">
                  <c:v>CLIENT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 Gender'!$G$12</c:f>
              <c:strCache>
                <c:ptCount val="1"/>
                <c:pt idx="0">
                  <c:v>Male</c:v>
                </c:pt>
              </c:strCache>
            </c:strRef>
          </c:cat>
          <c:val>
            <c:numRef>
              <c:f>'Client Gender'!$H$12</c:f>
              <c:numCache>
                <c:formatCode>0.00%</c:formatCode>
                <c:ptCount val="1"/>
                <c:pt idx="0">
                  <c:v>0.72277227722772275</c:v>
                </c:pt>
              </c:numCache>
            </c:numRef>
          </c:val>
          <c:extLst>
            <c:ext xmlns:c16="http://schemas.microsoft.com/office/drawing/2014/chart" uri="{C3380CC4-5D6E-409C-BE32-E72D297353CC}">
              <c16:uniqueId val="{00000000-B4D2-4818-B20C-6F6732E05210}"/>
            </c:ext>
          </c:extLst>
        </c:ser>
        <c:ser>
          <c:idx val="1"/>
          <c:order val="1"/>
          <c:tx>
            <c:strRef>
              <c:f>'Client Gender'!$I$10</c:f>
              <c:strCache>
                <c:ptCount val="1"/>
                <c:pt idx="0">
                  <c:v>PROSPECT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 Gender'!$G$12</c:f>
              <c:strCache>
                <c:ptCount val="1"/>
                <c:pt idx="0">
                  <c:v>Male</c:v>
                </c:pt>
              </c:strCache>
            </c:strRef>
          </c:cat>
          <c:val>
            <c:numRef>
              <c:f>'Client Gender'!$I$12</c:f>
              <c:numCache>
                <c:formatCode>0.00%</c:formatCode>
                <c:ptCount val="1"/>
                <c:pt idx="0">
                  <c:v>0.27722772277227725</c:v>
                </c:pt>
              </c:numCache>
            </c:numRef>
          </c:val>
          <c:extLst>
            <c:ext xmlns:c16="http://schemas.microsoft.com/office/drawing/2014/chart" uri="{C3380CC4-5D6E-409C-BE32-E72D297353CC}">
              <c16:uniqueId val="{00000001-B4D2-4818-B20C-6F6732E05210}"/>
            </c:ext>
          </c:extLst>
        </c:ser>
        <c:dLbls>
          <c:dLblPos val="ctr"/>
          <c:showLegendKey val="0"/>
          <c:showVal val="1"/>
          <c:showCatName val="0"/>
          <c:showSerName val="0"/>
          <c:showPercent val="0"/>
          <c:showBubbleSize val="0"/>
        </c:dLbls>
        <c:gapWidth val="150"/>
        <c:overlap val="100"/>
        <c:axId val="1591226704"/>
        <c:axId val="1744186928"/>
      </c:barChart>
      <c:catAx>
        <c:axId val="159122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4186928"/>
        <c:crosses val="autoZero"/>
        <c:auto val="1"/>
        <c:lblAlgn val="ctr"/>
        <c:lblOffset val="100"/>
        <c:noMultiLvlLbl val="0"/>
      </c:catAx>
      <c:valAx>
        <c:axId val="1744186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122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doughnutChart>
        <c:varyColors val="1"/>
        <c:ser>
          <c:idx val="0"/>
          <c:order val="0"/>
          <c:tx>
            <c:strRef>
              <c:f>Inspection!$F$13</c:f>
              <c:strCache>
                <c:ptCount val="1"/>
                <c:pt idx="0">
                  <c:v>NO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78-462F-A014-EEAA9D72E0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78-462F-A014-EEAA9D72E06D}"/>
              </c:ext>
            </c:extLst>
          </c:dPt>
          <c:cat>
            <c:strRef>
              <c:f>Inspection!$G$12:$H$12</c:f>
              <c:strCache>
                <c:ptCount val="2"/>
                <c:pt idx="0">
                  <c:v>PERCENTAGE PAID</c:v>
                </c:pt>
                <c:pt idx="1">
                  <c:v>not paid</c:v>
                </c:pt>
              </c:strCache>
            </c:strRef>
          </c:cat>
          <c:val>
            <c:numRef>
              <c:f>Inspection!$G$13:$H$13</c:f>
              <c:numCache>
                <c:formatCode>0%</c:formatCode>
                <c:ptCount val="2"/>
                <c:pt idx="0" formatCode="0.0%">
                  <c:v>0.1111111111111111</c:v>
                </c:pt>
                <c:pt idx="1">
                  <c:v>0.88888888888888884</c:v>
                </c:pt>
              </c:numCache>
            </c:numRef>
          </c:val>
          <c:extLst>
            <c:ext xmlns:c16="http://schemas.microsoft.com/office/drawing/2014/chart" uri="{C3380CC4-5D6E-409C-BE32-E72D297353CC}">
              <c16:uniqueId val="{00000000-942D-4CBC-B202-9C666050704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doughnutChart>
        <c:varyColors val="1"/>
        <c:ser>
          <c:idx val="0"/>
          <c:order val="0"/>
          <c:tx>
            <c:strRef>
              <c:f>Inspection!$F$14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A9-4056-BA50-F94F554834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A9-4056-BA50-F94F5548349B}"/>
              </c:ext>
            </c:extLst>
          </c:dPt>
          <c:cat>
            <c:strRef>
              <c:f>Inspection!$G$12:$H$12</c:f>
              <c:strCache>
                <c:ptCount val="2"/>
                <c:pt idx="0">
                  <c:v>PERCENTAGE PAID</c:v>
                </c:pt>
                <c:pt idx="1">
                  <c:v>not paid</c:v>
                </c:pt>
              </c:strCache>
            </c:strRef>
          </c:cat>
          <c:val>
            <c:numRef>
              <c:f>Inspection!$G$14:$H$14</c:f>
              <c:numCache>
                <c:formatCode>0%</c:formatCode>
                <c:ptCount val="2"/>
                <c:pt idx="0" formatCode="0.0%">
                  <c:v>0.54970760233918126</c:v>
                </c:pt>
                <c:pt idx="1">
                  <c:v>0.45029239766081869</c:v>
                </c:pt>
              </c:numCache>
            </c:numRef>
          </c:val>
          <c:extLst>
            <c:ext xmlns:c16="http://schemas.microsoft.com/office/drawing/2014/chart" uri="{C3380CC4-5D6E-409C-BE32-E72D297353CC}">
              <c16:uniqueId val="{00000000-D612-4998-8FEA-C9F29E47DB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'Product Performance'!$F$24</c:f>
              <c:strCache>
                <c:ptCount val="1"/>
                <c:pt idx="0">
                  <c:v>Commercial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03-4624-81EE-C21D51FB05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03-4624-81EE-C21D51FB0589}"/>
              </c:ext>
            </c:extLst>
          </c:dPt>
          <c:cat>
            <c:strRef>
              <c:f>'Product Performance'!$G$23:$H$23</c:f>
              <c:strCache>
                <c:ptCount val="2"/>
                <c:pt idx="0">
                  <c:v>Client</c:v>
                </c:pt>
                <c:pt idx="1">
                  <c:v>Prospect</c:v>
                </c:pt>
              </c:strCache>
            </c:strRef>
          </c:cat>
          <c:val>
            <c:numRef>
              <c:f>'Product Performance'!$G$24:$H$24</c:f>
              <c:numCache>
                <c:formatCode>0.00%</c:formatCode>
                <c:ptCount val="2"/>
                <c:pt idx="0">
                  <c:v>0.34615384615384615</c:v>
                </c:pt>
                <c:pt idx="1">
                  <c:v>0.65380000000000005</c:v>
                </c:pt>
              </c:numCache>
            </c:numRef>
          </c:val>
          <c:extLst>
            <c:ext xmlns:c16="http://schemas.microsoft.com/office/drawing/2014/chart" uri="{C3380CC4-5D6E-409C-BE32-E72D297353CC}">
              <c16:uniqueId val="{00000000-A3E1-40C2-90E7-6411CC6E7A7F}"/>
            </c:ext>
          </c:extLst>
        </c:ser>
        <c:ser>
          <c:idx val="1"/>
          <c:order val="1"/>
          <c:tx>
            <c:strRef>
              <c:f>'Product Performance'!$F$25</c:f>
              <c:strCache>
                <c:ptCount val="1"/>
                <c:pt idx="0">
                  <c:v>Industrial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103-4624-81EE-C21D51FB05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103-4624-81EE-C21D51FB0589}"/>
              </c:ext>
            </c:extLst>
          </c:dPt>
          <c:cat>
            <c:strRef>
              <c:f>'Product Performance'!$G$23:$H$23</c:f>
              <c:strCache>
                <c:ptCount val="2"/>
                <c:pt idx="0">
                  <c:v>Client</c:v>
                </c:pt>
                <c:pt idx="1">
                  <c:v>Prospect</c:v>
                </c:pt>
              </c:strCache>
            </c:strRef>
          </c:cat>
          <c:val>
            <c:numRef>
              <c:f>'Product Performance'!$G$25:$H$25</c:f>
              <c:numCache>
                <c:formatCode>0.00%</c:formatCode>
                <c:ptCount val="2"/>
                <c:pt idx="0">
                  <c:v>0</c:v>
                </c:pt>
                <c:pt idx="1">
                  <c:v>1</c:v>
                </c:pt>
              </c:numCache>
            </c:numRef>
          </c:val>
          <c:extLst>
            <c:ext xmlns:c16="http://schemas.microsoft.com/office/drawing/2014/chart" uri="{C3380CC4-5D6E-409C-BE32-E72D297353CC}">
              <c16:uniqueId val="{00000001-A3E1-40C2-90E7-6411CC6E7A7F}"/>
            </c:ext>
          </c:extLst>
        </c:ser>
        <c:ser>
          <c:idx val="2"/>
          <c:order val="2"/>
          <c:tx>
            <c:strRef>
              <c:f>'Product Performance'!$F$26</c:f>
              <c:strCache>
                <c:ptCount val="1"/>
                <c:pt idx="0">
                  <c:v>Residential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103-4624-81EE-C21D51FB05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103-4624-81EE-C21D51FB0589}"/>
              </c:ext>
            </c:extLst>
          </c:dPt>
          <c:cat>
            <c:strRef>
              <c:f>'Product Performance'!$G$23:$H$23</c:f>
              <c:strCache>
                <c:ptCount val="2"/>
                <c:pt idx="0">
                  <c:v>Client</c:v>
                </c:pt>
                <c:pt idx="1">
                  <c:v>Prospect</c:v>
                </c:pt>
              </c:strCache>
            </c:strRef>
          </c:cat>
          <c:val>
            <c:numRef>
              <c:f>'Product Performance'!$G$26:$H$26</c:f>
              <c:numCache>
                <c:formatCode>0.00%</c:formatCode>
                <c:ptCount val="2"/>
                <c:pt idx="0">
                  <c:v>0.64646464646464652</c:v>
                </c:pt>
                <c:pt idx="1">
                  <c:v>0.35349999999999998</c:v>
                </c:pt>
              </c:numCache>
            </c:numRef>
          </c:val>
          <c:extLst>
            <c:ext xmlns:c16="http://schemas.microsoft.com/office/drawing/2014/chart" uri="{C3380CC4-5D6E-409C-BE32-E72D297353CC}">
              <c16:uniqueId val="{00000002-A3E1-40C2-90E7-6411CC6E7A7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[Book2.xlsx]days!PivotTable13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days!$B$3:$B$4</c:f>
              <c:strCache>
                <c:ptCount val="1"/>
                <c:pt idx="0">
                  <c:v>Not Paid</c:v>
                </c:pt>
              </c:strCache>
            </c:strRef>
          </c:tx>
          <c:spPr>
            <a:ln w="28575" cap="rnd">
              <a:solidFill>
                <a:schemeClr val="accent1"/>
              </a:solidFill>
              <a:round/>
            </a:ln>
            <a:effectLst/>
          </c:spPr>
          <c:marker>
            <c:symbol val="none"/>
          </c:marker>
          <c:cat>
            <c:strRef>
              <c:f>days!$A$5:$A$36</c:f>
              <c:strCache>
                <c:ptCount val="31"/>
                <c:pt idx="0">
                  <c:v>01/08/2023</c:v>
                </c:pt>
                <c:pt idx="1">
                  <c:v>02/08/2023</c:v>
                </c:pt>
                <c:pt idx="2">
                  <c:v>03/08/2023</c:v>
                </c:pt>
                <c:pt idx="3">
                  <c:v>04/08/2023</c:v>
                </c:pt>
                <c:pt idx="4">
                  <c:v>05/08/2023</c:v>
                </c:pt>
                <c:pt idx="5">
                  <c:v>06/08/2023</c:v>
                </c:pt>
                <c:pt idx="6">
                  <c:v>07/08/2023</c:v>
                </c:pt>
                <c:pt idx="7">
                  <c:v>08/08/2023</c:v>
                </c:pt>
                <c:pt idx="8">
                  <c:v>09/08/2023</c:v>
                </c:pt>
                <c:pt idx="9">
                  <c:v>10/08/2023</c:v>
                </c:pt>
                <c:pt idx="10">
                  <c:v>11/08/2023</c:v>
                </c:pt>
                <c:pt idx="11">
                  <c:v>12/08/2023</c:v>
                </c:pt>
                <c:pt idx="12">
                  <c:v>13/08/2023</c:v>
                </c:pt>
                <c:pt idx="13">
                  <c:v>14/08/2023</c:v>
                </c:pt>
                <c:pt idx="14">
                  <c:v>15/08/2023</c:v>
                </c:pt>
                <c:pt idx="15">
                  <c:v>16/08/2023</c:v>
                </c:pt>
                <c:pt idx="16">
                  <c:v>17/08/2023</c:v>
                </c:pt>
                <c:pt idx="17">
                  <c:v>18/08/2023</c:v>
                </c:pt>
                <c:pt idx="18">
                  <c:v>19/08/2023</c:v>
                </c:pt>
                <c:pt idx="19">
                  <c:v>20/08/2023</c:v>
                </c:pt>
                <c:pt idx="20">
                  <c:v>21/08/2023</c:v>
                </c:pt>
                <c:pt idx="21">
                  <c:v>22/08/2023</c:v>
                </c:pt>
                <c:pt idx="22">
                  <c:v>23/08/2023</c:v>
                </c:pt>
                <c:pt idx="23">
                  <c:v>24/08/2023</c:v>
                </c:pt>
                <c:pt idx="24">
                  <c:v>25/08/2023</c:v>
                </c:pt>
                <c:pt idx="25">
                  <c:v>26/08/2023</c:v>
                </c:pt>
                <c:pt idx="26">
                  <c:v>27/08/2023</c:v>
                </c:pt>
                <c:pt idx="27">
                  <c:v>28/08/2023</c:v>
                </c:pt>
                <c:pt idx="28">
                  <c:v>29/08/2023</c:v>
                </c:pt>
                <c:pt idx="29">
                  <c:v>30/08/2023</c:v>
                </c:pt>
                <c:pt idx="30">
                  <c:v>31/08/2023</c:v>
                </c:pt>
              </c:strCache>
            </c:strRef>
          </c:cat>
          <c:val>
            <c:numRef>
              <c:f>days!$B$5:$B$36</c:f>
              <c:numCache>
                <c:formatCode>0.00%</c:formatCode>
                <c:ptCount val="31"/>
                <c:pt idx="0">
                  <c:v>0.8</c:v>
                </c:pt>
                <c:pt idx="1">
                  <c:v>0.33333333333333331</c:v>
                </c:pt>
                <c:pt idx="2">
                  <c:v>0.16666666666666666</c:v>
                </c:pt>
                <c:pt idx="3">
                  <c:v>0.6</c:v>
                </c:pt>
                <c:pt idx="4">
                  <c:v>0.5714285714285714</c:v>
                </c:pt>
                <c:pt idx="5">
                  <c:v>0.5</c:v>
                </c:pt>
                <c:pt idx="6">
                  <c:v>0.7142857142857143</c:v>
                </c:pt>
                <c:pt idx="7">
                  <c:v>0.4</c:v>
                </c:pt>
                <c:pt idx="8">
                  <c:v>1</c:v>
                </c:pt>
                <c:pt idx="9">
                  <c:v>0.14285714285714285</c:v>
                </c:pt>
                <c:pt idx="10">
                  <c:v>1</c:v>
                </c:pt>
                <c:pt idx="11">
                  <c:v>0.375</c:v>
                </c:pt>
                <c:pt idx="12">
                  <c:v>0.77777777777777779</c:v>
                </c:pt>
                <c:pt idx="13">
                  <c:v>0</c:v>
                </c:pt>
                <c:pt idx="14">
                  <c:v>0.75</c:v>
                </c:pt>
                <c:pt idx="15">
                  <c:v>0.14285714285714285</c:v>
                </c:pt>
                <c:pt idx="16">
                  <c:v>0.8571428571428571</c:v>
                </c:pt>
                <c:pt idx="17">
                  <c:v>0.4</c:v>
                </c:pt>
                <c:pt idx="18">
                  <c:v>0.8</c:v>
                </c:pt>
                <c:pt idx="19">
                  <c:v>0.8571428571428571</c:v>
                </c:pt>
                <c:pt idx="20">
                  <c:v>1</c:v>
                </c:pt>
                <c:pt idx="21">
                  <c:v>0</c:v>
                </c:pt>
                <c:pt idx="22">
                  <c:v>0.33333333333333331</c:v>
                </c:pt>
                <c:pt idx="23">
                  <c:v>0.75</c:v>
                </c:pt>
                <c:pt idx="24">
                  <c:v>0.6</c:v>
                </c:pt>
                <c:pt idx="25">
                  <c:v>0.5714285714285714</c:v>
                </c:pt>
                <c:pt idx="26">
                  <c:v>0.5714285714285714</c:v>
                </c:pt>
                <c:pt idx="27">
                  <c:v>0.5714285714285714</c:v>
                </c:pt>
                <c:pt idx="28">
                  <c:v>0.25</c:v>
                </c:pt>
                <c:pt idx="29">
                  <c:v>1</c:v>
                </c:pt>
                <c:pt idx="30">
                  <c:v>0.6</c:v>
                </c:pt>
              </c:numCache>
            </c:numRef>
          </c:val>
          <c:smooth val="0"/>
          <c:extLst>
            <c:ext xmlns:c16="http://schemas.microsoft.com/office/drawing/2014/chart" uri="{C3380CC4-5D6E-409C-BE32-E72D297353CC}">
              <c16:uniqueId val="{00000000-05BD-45C4-8749-8C10004C0C3F}"/>
            </c:ext>
          </c:extLst>
        </c:ser>
        <c:ser>
          <c:idx val="1"/>
          <c:order val="1"/>
          <c:tx>
            <c:strRef>
              <c:f>days!$C$3:$C$4</c:f>
              <c:strCache>
                <c:ptCount val="1"/>
                <c:pt idx="0">
                  <c:v>Paid</c:v>
                </c:pt>
              </c:strCache>
            </c:strRef>
          </c:tx>
          <c:spPr>
            <a:ln w="28575" cap="rnd">
              <a:solidFill>
                <a:schemeClr val="accent2"/>
              </a:solidFill>
              <a:round/>
            </a:ln>
            <a:effectLst/>
          </c:spPr>
          <c:marker>
            <c:symbol val="none"/>
          </c:marker>
          <c:cat>
            <c:strRef>
              <c:f>days!$A$5:$A$36</c:f>
              <c:strCache>
                <c:ptCount val="31"/>
                <c:pt idx="0">
                  <c:v>01/08/2023</c:v>
                </c:pt>
                <c:pt idx="1">
                  <c:v>02/08/2023</c:v>
                </c:pt>
                <c:pt idx="2">
                  <c:v>03/08/2023</c:v>
                </c:pt>
                <c:pt idx="3">
                  <c:v>04/08/2023</c:v>
                </c:pt>
                <c:pt idx="4">
                  <c:v>05/08/2023</c:v>
                </c:pt>
                <c:pt idx="5">
                  <c:v>06/08/2023</c:v>
                </c:pt>
                <c:pt idx="6">
                  <c:v>07/08/2023</c:v>
                </c:pt>
                <c:pt idx="7">
                  <c:v>08/08/2023</c:v>
                </c:pt>
                <c:pt idx="8">
                  <c:v>09/08/2023</c:v>
                </c:pt>
                <c:pt idx="9">
                  <c:v>10/08/2023</c:v>
                </c:pt>
                <c:pt idx="10">
                  <c:v>11/08/2023</c:v>
                </c:pt>
                <c:pt idx="11">
                  <c:v>12/08/2023</c:v>
                </c:pt>
                <c:pt idx="12">
                  <c:v>13/08/2023</c:v>
                </c:pt>
                <c:pt idx="13">
                  <c:v>14/08/2023</c:v>
                </c:pt>
                <c:pt idx="14">
                  <c:v>15/08/2023</c:v>
                </c:pt>
                <c:pt idx="15">
                  <c:v>16/08/2023</c:v>
                </c:pt>
                <c:pt idx="16">
                  <c:v>17/08/2023</c:v>
                </c:pt>
                <c:pt idx="17">
                  <c:v>18/08/2023</c:v>
                </c:pt>
                <c:pt idx="18">
                  <c:v>19/08/2023</c:v>
                </c:pt>
                <c:pt idx="19">
                  <c:v>20/08/2023</c:v>
                </c:pt>
                <c:pt idx="20">
                  <c:v>21/08/2023</c:v>
                </c:pt>
                <c:pt idx="21">
                  <c:v>22/08/2023</c:v>
                </c:pt>
                <c:pt idx="22">
                  <c:v>23/08/2023</c:v>
                </c:pt>
                <c:pt idx="23">
                  <c:v>24/08/2023</c:v>
                </c:pt>
                <c:pt idx="24">
                  <c:v>25/08/2023</c:v>
                </c:pt>
                <c:pt idx="25">
                  <c:v>26/08/2023</c:v>
                </c:pt>
                <c:pt idx="26">
                  <c:v>27/08/2023</c:v>
                </c:pt>
                <c:pt idx="27">
                  <c:v>28/08/2023</c:v>
                </c:pt>
                <c:pt idx="28">
                  <c:v>29/08/2023</c:v>
                </c:pt>
                <c:pt idx="29">
                  <c:v>30/08/2023</c:v>
                </c:pt>
                <c:pt idx="30">
                  <c:v>31/08/2023</c:v>
                </c:pt>
              </c:strCache>
            </c:strRef>
          </c:cat>
          <c:val>
            <c:numRef>
              <c:f>days!$C$5:$C$36</c:f>
              <c:numCache>
                <c:formatCode>0.00%</c:formatCode>
                <c:ptCount val="31"/>
                <c:pt idx="0">
                  <c:v>0.2</c:v>
                </c:pt>
                <c:pt idx="1">
                  <c:v>0.66666666666666663</c:v>
                </c:pt>
                <c:pt idx="2">
                  <c:v>0.83333333333333337</c:v>
                </c:pt>
                <c:pt idx="3">
                  <c:v>0.4</c:v>
                </c:pt>
                <c:pt idx="4">
                  <c:v>0.42857142857142855</c:v>
                </c:pt>
                <c:pt idx="5">
                  <c:v>0.5</c:v>
                </c:pt>
                <c:pt idx="6">
                  <c:v>0.2857142857142857</c:v>
                </c:pt>
                <c:pt idx="7">
                  <c:v>0.6</c:v>
                </c:pt>
                <c:pt idx="8">
                  <c:v>0</c:v>
                </c:pt>
                <c:pt idx="9">
                  <c:v>0.8571428571428571</c:v>
                </c:pt>
                <c:pt idx="10">
                  <c:v>0</c:v>
                </c:pt>
                <c:pt idx="11">
                  <c:v>0.625</c:v>
                </c:pt>
                <c:pt idx="12">
                  <c:v>0.22222222222222221</c:v>
                </c:pt>
                <c:pt idx="13">
                  <c:v>1</c:v>
                </c:pt>
                <c:pt idx="14">
                  <c:v>0.25</c:v>
                </c:pt>
                <c:pt idx="15">
                  <c:v>0.8571428571428571</c:v>
                </c:pt>
                <c:pt idx="16">
                  <c:v>0.14285714285714285</c:v>
                </c:pt>
                <c:pt idx="17">
                  <c:v>0.6</c:v>
                </c:pt>
                <c:pt idx="18">
                  <c:v>0.2</c:v>
                </c:pt>
                <c:pt idx="19">
                  <c:v>0.14285714285714285</c:v>
                </c:pt>
                <c:pt idx="20">
                  <c:v>0</c:v>
                </c:pt>
                <c:pt idx="21">
                  <c:v>1</c:v>
                </c:pt>
                <c:pt idx="22">
                  <c:v>0.66666666666666663</c:v>
                </c:pt>
                <c:pt idx="23">
                  <c:v>0.25</c:v>
                </c:pt>
                <c:pt idx="24">
                  <c:v>0.4</c:v>
                </c:pt>
                <c:pt idx="25">
                  <c:v>0.42857142857142855</c:v>
                </c:pt>
                <c:pt idx="26">
                  <c:v>0.42857142857142855</c:v>
                </c:pt>
                <c:pt idx="27">
                  <c:v>0.42857142857142855</c:v>
                </c:pt>
                <c:pt idx="28">
                  <c:v>0.75</c:v>
                </c:pt>
                <c:pt idx="29">
                  <c:v>0</c:v>
                </c:pt>
                <c:pt idx="30">
                  <c:v>0.4</c:v>
                </c:pt>
              </c:numCache>
            </c:numRef>
          </c:val>
          <c:smooth val="0"/>
          <c:extLst>
            <c:ext xmlns:c16="http://schemas.microsoft.com/office/drawing/2014/chart" uri="{C3380CC4-5D6E-409C-BE32-E72D297353CC}">
              <c16:uniqueId val="{00000001-05BD-45C4-8749-8C10004C0C3F}"/>
            </c:ext>
          </c:extLst>
        </c:ser>
        <c:dLbls>
          <c:showLegendKey val="0"/>
          <c:showVal val="0"/>
          <c:showCatName val="0"/>
          <c:showSerName val="0"/>
          <c:showPercent val="0"/>
          <c:showBubbleSize val="0"/>
        </c:dLbls>
        <c:smooth val="0"/>
        <c:axId val="1461851872"/>
        <c:axId val="1403412240"/>
      </c:lineChart>
      <c:catAx>
        <c:axId val="146185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03412240"/>
        <c:crosses val="autoZero"/>
        <c:auto val="1"/>
        <c:lblAlgn val="ctr"/>
        <c:lblOffset val="100"/>
        <c:noMultiLvlLbl val="0"/>
      </c:catAx>
      <c:valAx>
        <c:axId val="1403412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185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'Week of the Month'!$G$4</c:f>
              <c:strCache>
                <c:ptCount val="1"/>
                <c:pt idx="0">
                  <c:v>Client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of the Month'!$F$5:$F$9</c:f>
              <c:strCache>
                <c:ptCount val="5"/>
                <c:pt idx="0">
                  <c:v>Week 1</c:v>
                </c:pt>
                <c:pt idx="1">
                  <c:v>Week 2</c:v>
                </c:pt>
                <c:pt idx="2">
                  <c:v>Week 3</c:v>
                </c:pt>
                <c:pt idx="3">
                  <c:v>Week 4</c:v>
                </c:pt>
                <c:pt idx="4">
                  <c:v>Week 5</c:v>
                </c:pt>
              </c:strCache>
            </c:strRef>
          </c:cat>
          <c:val>
            <c:numRef>
              <c:f>'Week of the Month'!$G$5:$G$9</c:f>
              <c:numCache>
                <c:formatCode>General</c:formatCode>
                <c:ptCount val="5"/>
                <c:pt idx="0">
                  <c:v>19</c:v>
                </c:pt>
                <c:pt idx="1">
                  <c:v>21</c:v>
                </c:pt>
                <c:pt idx="2">
                  <c:v>23</c:v>
                </c:pt>
                <c:pt idx="3">
                  <c:v>21</c:v>
                </c:pt>
                <c:pt idx="4">
                  <c:v>16</c:v>
                </c:pt>
              </c:numCache>
            </c:numRef>
          </c:val>
          <c:extLst>
            <c:ext xmlns:c16="http://schemas.microsoft.com/office/drawing/2014/chart" uri="{C3380CC4-5D6E-409C-BE32-E72D297353CC}">
              <c16:uniqueId val="{00000000-2AC7-4283-92DD-BB27266356F2}"/>
            </c:ext>
          </c:extLst>
        </c:ser>
        <c:dLbls>
          <c:showLegendKey val="0"/>
          <c:showVal val="0"/>
          <c:showCatName val="0"/>
          <c:showSerName val="0"/>
          <c:showPercent val="0"/>
          <c:showBubbleSize val="0"/>
        </c:dLbls>
        <c:gapWidth val="219"/>
        <c:axId val="451881391"/>
        <c:axId val="741442799"/>
      </c:barChart>
      <c:catAx>
        <c:axId val="451881391"/>
        <c:scaling>
          <c:orientation val="minMax"/>
        </c:scaling>
        <c:delete val="0"/>
        <c:axPos val="r"/>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41442799"/>
        <c:crosses val="autoZero"/>
        <c:auto val="1"/>
        <c:lblAlgn val="ctr"/>
        <c:lblOffset val="100"/>
        <c:noMultiLvlLbl val="0"/>
      </c:catAx>
      <c:valAx>
        <c:axId val="741442799"/>
        <c:scaling>
          <c:orientation val="maxMin"/>
        </c:scaling>
        <c:delete val="1"/>
        <c:axPos val="b"/>
        <c:numFmt formatCode="General" sourceLinked="1"/>
        <c:majorTickMark val="none"/>
        <c:minorTickMark val="none"/>
        <c:tickLblPos val="nextTo"/>
        <c:crossAx val="45188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 of the Month'!$I$5:$I$9</c:f>
              <c:numCache>
                <c:formatCode>General</c:formatCode>
                <c:ptCount val="5"/>
                <c:pt idx="0">
                  <c:v>37</c:v>
                </c:pt>
                <c:pt idx="1">
                  <c:v>54</c:v>
                </c:pt>
                <c:pt idx="2">
                  <c:v>50</c:v>
                </c:pt>
                <c:pt idx="3">
                  <c:v>44</c:v>
                </c:pt>
                <c:pt idx="4">
                  <c:v>40</c:v>
                </c:pt>
              </c:numCache>
            </c:numRef>
          </c:val>
          <c:extLst>
            <c:ext xmlns:c16="http://schemas.microsoft.com/office/drawing/2014/chart" uri="{C3380CC4-5D6E-409C-BE32-E72D297353CC}">
              <c16:uniqueId val="{00000000-21C0-4310-AD8A-D97F2FF1B68C}"/>
            </c:ext>
          </c:extLst>
        </c:ser>
        <c:dLbls>
          <c:showLegendKey val="0"/>
          <c:showVal val="0"/>
          <c:showCatName val="0"/>
          <c:showSerName val="0"/>
          <c:showPercent val="0"/>
          <c:showBubbleSize val="0"/>
        </c:dLbls>
        <c:gapWidth val="182"/>
        <c:axId val="1977520895"/>
        <c:axId val="1964822831"/>
      </c:barChart>
      <c:catAx>
        <c:axId val="197752089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4822831"/>
        <c:crosses val="autoZero"/>
        <c:auto val="1"/>
        <c:lblAlgn val="ctr"/>
        <c:lblOffset val="100"/>
        <c:noMultiLvlLbl val="0"/>
      </c:catAx>
      <c:valAx>
        <c:axId val="196482283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7752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percentStacked"/>
        <c:varyColors val="0"/>
        <c:ser>
          <c:idx val="0"/>
          <c:order val="0"/>
          <c:tx>
            <c:strRef>
              <c:f>'Week of the Month'!$G$4</c:f>
              <c:strCache>
                <c:ptCount val="1"/>
                <c:pt idx="0">
                  <c:v>Client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of the Month'!$F$5:$F$9</c:f>
              <c:strCache>
                <c:ptCount val="5"/>
                <c:pt idx="0">
                  <c:v>Week 1</c:v>
                </c:pt>
                <c:pt idx="1">
                  <c:v>Week 2</c:v>
                </c:pt>
                <c:pt idx="2">
                  <c:v>Week 3</c:v>
                </c:pt>
                <c:pt idx="3">
                  <c:v>Week 4</c:v>
                </c:pt>
                <c:pt idx="4">
                  <c:v>Week 5</c:v>
                </c:pt>
              </c:strCache>
            </c:strRef>
          </c:cat>
          <c:val>
            <c:numRef>
              <c:f>'Week of the Month'!$G$5:$G$9</c:f>
              <c:numCache>
                <c:formatCode>General</c:formatCode>
                <c:ptCount val="5"/>
                <c:pt idx="0">
                  <c:v>19</c:v>
                </c:pt>
                <c:pt idx="1">
                  <c:v>21</c:v>
                </c:pt>
                <c:pt idx="2">
                  <c:v>23</c:v>
                </c:pt>
                <c:pt idx="3">
                  <c:v>21</c:v>
                </c:pt>
                <c:pt idx="4">
                  <c:v>16</c:v>
                </c:pt>
              </c:numCache>
            </c:numRef>
          </c:val>
          <c:extLst>
            <c:ext xmlns:c16="http://schemas.microsoft.com/office/drawing/2014/chart" uri="{C3380CC4-5D6E-409C-BE32-E72D297353CC}">
              <c16:uniqueId val="{00000000-9E88-4B35-A57D-C415F78F7563}"/>
            </c:ext>
          </c:extLst>
        </c:ser>
        <c:ser>
          <c:idx val="1"/>
          <c:order val="1"/>
          <c:tx>
            <c:strRef>
              <c:f>'Week of the Month'!$H$4</c:f>
              <c:strCache>
                <c:ptCount val="1"/>
                <c:pt idx="0">
                  <c:v>Prospect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of the Month'!$F$5:$F$9</c:f>
              <c:strCache>
                <c:ptCount val="5"/>
                <c:pt idx="0">
                  <c:v>Week 1</c:v>
                </c:pt>
                <c:pt idx="1">
                  <c:v>Week 2</c:v>
                </c:pt>
                <c:pt idx="2">
                  <c:v>Week 3</c:v>
                </c:pt>
                <c:pt idx="3">
                  <c:v>Week 4</c:v>
                </c:pt>
                <c:pt idx="4">
                  <c:v>Week 5</c:v>
                </c:pt>
              </c:strCache>
            </c:strRef>
          </c:cat>
          <c:val>
            <c:numRef>
              <c:f>'Week of the Month'!$H$5:$H$9</c:f>
              <c:numCache>
                <c:formatCode>0.0%</c:formatCode>
                <c:ptCount val="5"/>
                <c:pt idx="0">
                  <c:v>0.51400000000000001</c:v>
                </c:pt>
                <c:pt idx="1">
                  <c:v>0.38900000000000001</c:v>
                </c:pt>
                <c:pt idx="2">
                  <c:v>0.46</c:v>
                </c:pt>
                <c:pt idx="3">
                  <c:v>0.47699999999999998</c:v>
                </c:pt>
                <c:pt idx="4">
                  <c:v>0.4</c:v>
                </c:pt>
              </c:numCache>
            </c:numRef>
          </c:val>
          <c:extLst>
            <c:ext xmlns:c16="http://schemas.microsoft.com/office/drawing/2014/chart" uri="{C3380CC4-5D6E-409C-BE32-E72D297353CC}">
              <c16:uniqueId val="{00000001-9E88-4B35-A57D-C415F78F7563}"/>
            </c:ext>
          </c:extLst>
        </c:ser>
        <c:dLbls>
          <c:showLegendKey val="0"/>
          <c:showVal val="0"/>
          <c:showCatName val="0"/>
          <c:showSerName val="0"/>
          <c:showPercent val="0"/>
          <c:showBubbleSize val="0"/>
        </c:dLbls>
        <c:gapWidth val="150"/>
        <c:overlap val="100"/>
        <c:axId val="1831779343"/>
        <c:axId val="1778210607"/>
      </c:barChart>
      <c:catAx>
        <c:axId val="183177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78210607"/>
        <c:crosses val="autoZero"/>
        <c:auto val="1"/>
        <c:lblAlgn val="ctr"/>
        <c:lblOffset val="100"/>
        <c:noMultiLvlLbl val="0"/>
      </c:catAx>
      <c:valAx>
        <c:axId val="1778210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1779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5F7F-49B3-B5A8-261819086C74}"/>
              </c:ext>
            </c:extLst>
          </c:dPt>
          <c:dPt>
            <c:idx val="1"/>
            <c:invertIfNegative val="0"/>
            <c:bubble3D val="0"/>
            <c:spPr>
              <a:solidFill>
                <a:srgbClr val="FF0000"/>
              </a:solidFill>
              <a:ln>
                <a:noFill/>
              </a:ln>
              <a:effectLst/>
            </c:spPr>
            <c:extLst>
              <c:ext xmlns:c16="http://schemas.microsoft.com/office/drawing/2014/chart" uri="{C3380CC4-5D6E-409C-BE32-E72D297353CC}">
                <c16:uniqueId val="{00000001-5F7F-49B3-B5A8-261819086C74}"/>
              </c:ext>
            </c:extLst>
          </c:dPt>
          <c:dPt>
            <c:idx val="2"/>
            <c:invertIfNegative val="0"/>
            <c:bubble3D val="0"/>
            <c:spPr>
              <a:solidFill>
                <a:srgbClr val="FF0000"/>
              </a:solidFill>
              <a:ln>
                <a:noFill/>
              </a:ln>
              <a:effectLst/>
            </c:spPr>
            <c:extLst>
              <c:ext xmlns:c16="http://schemas.microsoft.com/office/drawing/2014/chart" uri="{C3380CC4-5D6E-409C-BE32-E72D297353CC}">
                <c16:uniqueId val="{00000002-5F7F-49B3-B5A8-261819086C74}"/>
              </c:ext>
            </c:extLst>
          </c:dPt>
          <c:dPt>
            <c:idx val="3"/>
            <c:invertIfNegative val="0"/>
            <c:bubble3D val="0"/>
            <c:spPr>
              <a:solidFill>
                <a:srgbClr val="5EF4B0"/>
              </a:solidFill>
              <a:ln>
                <a:noFill/>
              </a:ln>
              <a:effectLst/>
            </c:spPr>
            <c:extLst>
              <c:ext xmlns:c16="http://schemas.microsoft.com/office/drawing/2014/chart" uri="{C3380CC4-5D6E-409C-BE32-E72D297353CC}">
                <c16:uniqueId val="{00000003-5F7F-49B3-B5A8-261819086C74}"/>
              </c:ext>
            </c:extLst>
          </c:dPt>
          <c:dPt>
            <c:idx val="4"/>
            <c:invertIfNegative val="0"/>
            <c:bubble3D val="0"/>
            <c:spPr>
              <a:solidFill>
                <a:srgbClr val="5EF4B0"/>
              </a:solidFill>
              <a:ln>
                <a:noFill/>
              </a:ln>
              <a:effectLst/>
            </c:spPr>
            <c:extLst>
              <c:ext xmlns:c16="http://schemas.microsoft.com/office/drawing/2014/chart" uri="{C3380CC4-5D6E-409C-BE32-E72D297353CC}">
                <c16:uniqueId val="{00000004-5F7F-49B3-B5A8-261819086C74}"/>
              </c:ext>
            </c:extLst>
          </c:dPt>
          <c:dPt>
            <c:idx val="5"/>
            <c:invertIfNegative val="0"/>
            <c:bubble3D val="0"/>
            <c:spPr>
              <a:solidFill>
                <a:srgbClr val="FF0000"/>
              </a:solidFill>
              <a:ln>
                <a:noFill/>
              </a:ln>
              <a:effectLst/>
            </c:spPr>
            <c:extLst>
              <c:ext xmlns:c16="http://schemas.microsoft.com/office/drawing/2014/chart" uri="{C3380CC4-5D6E-409C-BE32-E72D297353CC}">
                <c16:uniqueId val="{00000005-5F7F-49B3-B5A8-261819086C74}"/>
              </c:ext>
            </c:extLst>
          </c:dPt>
          <c:dLbls>
            <c:dLbl>
              <c:idx val="0"/>
              <c:tx>
                <c:rich>
                  <a:bodyPr/>
                  <a:lstStyle/>
                  <a:p>
                    <a:fld id="{556C86B2-51A7-40ED-9566-EF93868300AF}"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F7F-49B3-B5A8-261819086C74}"/>
                </c:ext>
              </c:extLst>
            </c:dLbl>
            <c:dLbl>
              <c:idx val="1"/>
              <c:tx>
                <c:rich>
                  <a:bodyPr/>
                  <a:lstStyle/>
                  <a:p>
                    <a:fld id="{D28C4E45-9F95-485B-A2F1-D3ED7F92C3EE}"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F7F-49B3-B5A8-261819086C74}"/>
                </c:ext>
              </c:extLst>
            </c:dLbl>
            <c:dLbl>
              <c:idx val="2"/>
              <c:tx>
                <c:rich>
                  <a:bodyPr/>
                  <a:lstStyle/>
                  <a:p>
                    <a:fld id="{C175B1C4-2D0A-4F8F-80BD-CFD79D34B26C}"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F7F-49B3-B5A8-261819086C74}"/>
                </c:ext>
              </c:extLst>
            </c:dLbl>
            <c:dLbl>
              <c:idx val="3"/>
              <c:tx>
                <c:rich>
                  <a:bodyPr/>
                  <a:lstStyle/>
                  <a:p>
                    <a:fld id="{98767953-1BAD-4C96-AD27-BD6F5E5F83EA}"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F7F-49B3-B5A8-261819086C74}"/>
                </c:ext>
              </c:extLst>
            </c:dLbl>
            <c:dLbl>
              <c:idx val="4"/>
              <c:tx>
                <c:rich>
                  <a:bodyPr/>
                  <a:lstStyle/>
                  <a:p>
                    <a:fld id="{823EEC48-BD00-4E55-80B3-3BA125A0EC81}"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F7F-49B3-B5A8-261819086C74}"/>
                </c:ext>
              </c:extLst>
            </c:dLbl>
            <c:dLbl>
              <c:idx val="5"/>
              <c:tx>
                <c:rich>
                  <a:bodyPr/>
                  <a:lstStyle/>
                  <a:p>
                    <a:fld id="{F440E73D-462C-47E8-97D8-C3356D377E6F}"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F7F-49B3-B5A8-261819086C7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Salesperson!$A$25:$A$30</c:f>
              <c:strCache>
                <c:ptCount val="6"/>
                <c:pt idx="0">
                  <c:v>Ahmed</c:v>
                </c:pt>
                <c:pt idx="1">
                  <c:v>Chioma</c:v>
                </c:pt>
                <c:pt idx="2">
                  <c:v>Chukwudi</c:v>
                </c:pt>
                <c:pt idx="3">
                  <c:v>Funmi</c:v>
                </c:pt>
                <c:pt idx="4">
                  <c:v>Ngozi</c:v>
                </c:pt>
                <c:pt idx="5">
                  <c:v>Olumide</c:v>
                </c:pt>
              </c:strCache>
            </c:strRef>
          </c:cat>
          <c:val>
            <c:numRef>
              <c:f>Salesperson!$C$25:$C$30</c:f>
              <c:numCache>
                <c:formatCode>0.00%</c:formatCode>
                <c:ptCount val="6"/>
                <c:pt idx="0">
                  <c:v>-0.27272727272727298</c:v>
                </c:pt>
                <c:pt idx="1">
                  <c:v>-8.3333333333333315E-2</c:v>
                </c:pt>
                <c:pt idx="2">
                  <c:v>-8.139534883720928E-2</c:v>
                </c:pt>
                <c:pt idx="3">
                  <c:v>7.1428571428571397E-2</c:v>
                </c:pt>
                <c:pt idx="4">
                  <c:v>0.2142857142857143</c:v>
                </c:pt>
                <c:pt idx="5">
                  <c:v>-0.16666666666666669</c:v>
                </c:pt>
              </c:numCache>
            </c:numRef>
          </c:val>
          <c:extLst>
            <c:ext xmlns:c15="http://schemas.microsoft.com/office/drawing/2012/chart" uri="{02D57815-91ED-43cb-92C2-25804820EDAC}">
              <c15:datalabelsRange>
                <c15:f>Salesperson!$B$25:$B$30</c15:f>
                <c15:dlblRangeCache>
                  <c:ptCount val="6"/>
                  <c:pt idx="0">
                    <c:v>22.73%</c:v>
                  </c:pt>
                  <c:pt idx="1">
                    <c:v>41.67%</c:v>
                  </c:pt>
                  <c:pt idx="2">
                    <c:v>41.86%</c:v>
                  </c:pt>
                  <c:pt idx="3">
                    <c:v>57.14%</c:v>
                  </c:pt>
                  <c:pt idx="4">
                    <c:v>71.43%</c:v>
                  </c:pt>
                  <c:pt idx="5">
                    <c:v>33.33%</c:v>
                  </c:pt>
                </c15:dlblRangeCache>
              </c15:datalabelsRange>
            </c:ext>
            <c:ext xmlns:c16="http://schemas.microsoft.com/office/drawing/2014/chart" uri="{C3380CC4-5D6E-409C-BE32-E72D297353CC}">
              <c16:uniqueId val="{00000006-5F7F-49B3-B5A8-261819086C74}"/>
            </c:ext>
          </c:extLst>
        </c:ser>
        <c:dLbls>
          <c:dLblPos val="outEnd"/>
          <c:showLegendKey val="0"/>
          <c:showVal val="1"/>
          <c:showCatName val="0"/>
          <c:showSerName val="0"/>
          <c:showPercent val="0"/>
          <c:showBubbleSize val="0"/>
        </c:dLbls>
        <c:gapWidth val="219"/>
        <c:overlap val="-27"/>
        <c:axId val="414487216"/>
        <c:axId val="405160816"/>
      </c:barChart>
      <c:catAx>
        <c:axId val="414487216"/>
        <c:scaling>
          <c:orientation val="minMax"/>
        </c:scaling>
        <c:delete val="0"/>
        <c:axPos val="b"/>
        <c:majorGridlines>
          <c:spPr>
            <a:ln w="9525" cap="flat" cmpd="sng" algn="ctr">
              <a:solidFill>
                <a:schemeClr val="accent2"/>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 b="0" i="0" u="none" strike="noStrike" kern="1200" baseline="0">
                <a:solidFill>
                  <a:schemeClr val="tx1">
                    <a:lumMod val="65000"/>
                    <a:lumOff val="35000"/>
                  </a:schemeClr>
                </a:solidFill>
                <a:latin typeface="+mn-lt"/>
                <a:ea typeface="+mn-ea"/>
                <a:cs typeface="+mn-cs"/>
              </a:defRPr>
            </a:pPr>
            <a:endParaRPr lang="en-NG"/>
          </a:p>
        </c:txPr>
        <c:crossAx val="405160816"/>
        <c:crosses val="autoZero"/>
        <c:auto val="1"/>
        <c:lblAlgn val="ctr"/>
        <c:lblOffset val="100"/>
        <c:noMultiLvlLbl val="0"/>
      </c:catAx>
      <c:valAx>
        <c:axId val="40516081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41448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303456320833459"/>
          <c:y val="4.1860631407540067E-2"/>
          <c:w val="0.75393047133476132"/>
          <c:h val="0.76148613895256201"/>
        </c:manualLayout>
      </c:layout>
      <c:doughnutChart>
        <c:varyColors val="1"/>
        <c:ser>
          <c:idx val="1"/>
          <c:order val="0"/>
          <c:tx>
            <c:strRef>
              <c:f>'conversion rate'!$G$1</c:f>
              <c:strCache>
                <c:ptCount val="1"/>
                <c:pt idx="0">
                  <c:v>PART</c:v>
                </c:pt>
              </c:strCache>
            </c:strRef>
          </c:tx>
          <c:dPt>
            <c:idx val="0"/>
            <c:bubble3D val="0"/>
            <c:spPr>
              <a:solidFill>
                <a:schemeClr val="accent3">
                  <a:lumMod val="20000"/>
                  <a:lumOff val="80000"/>
                </a:schemeClr>
              </a:solidFill>
            </c:spPr>
            <c:extLst>
              <c:ext xmlns:c16="http://schemas.microsoft.com/office/drawing/2014/chart" uri="{C3380CC4-5D6E-409C-BE32-E72D297353CC}">
                <c16:uniqueId val="{00000001-D211-47FB-BA09-7EC9106331A1}"/>
              </c:ext>
            </c:extLst>
          </c:dPt>
          <c:dPt>
            <c:idx val="1"/>
            <c:bubble3D val="0"/>
            <c:spPr>
              <a:solidFill>
                <a:schemeClr val="accent3">
                  <a:lumMod val="40000"/>
                  <a:lumOff val="60000"/>
                </a:schemeClr>
              </a:solidFill>
            </c:spPr>
            <c:extLst>
              <c:ext xmlns:c16="http://schemas.microsoft.com/office/drawing/2014/chart" uri="{C3380CC4-5D6E-409C-BE32-E72D297353CC}">
                <c16:uniqueId val="{00000003-D211-47FB-BA09-7EC9106331A1}"/>
              </c:ext>
            </c:extLst>
          </c:dPt>
          <c:dPt>
            <c:idx val="2"/>
            <c:bubble3D val="0"/>
            <c:spPr>
              <a:solidFill>
                <a:schemeClr val="accent3">
                  <a:lumMod val="60000"/>
                  <a:lumOff val="40000"/>
                </a:schemeClr>
              </a:solidFill>
            </c:spPr>
            <c:extLst>
              <c:ext xmlns:c16="http://schemas.microsoft.com/office/drawing/2014/chart" uri="{C3380CC4-5D6E-409C-BE32-E72D297353CC}">
                <c16:uniqueId val="{00000005-D211-47FB-BA09-7EC9106331A1}"/>
              </c:ext>
            </c:extLst>
          </c:dPt>
          <c:dPt>
            <c:idx val="3"/>
            <c:bubble3D val="0"/>
            <c:spPr>
              <a:solidFill>
                <a:schemeClr val="accent3">
                  <a:lumMod val="75000"/>
                </a:schemeClr>
              </a:solidFill>
            </c:spPr>
            <c:extLst>
              <c:ext xmlns:c16="http://schemas.microsoft.com/office/drawing/2014/chart" uri="{C3380CC4-5D6E-409C-BE32-E72D297353CC}">
                <c16:uniqueId val="{0000002B-D211-47FB-BA09-7EC9106331A1}"/>
              </c:ext>
            </c:extLst>
          </c:dPt>
          <c:dPt>
            <c:idx val="4"/>
            <c:bubble3D val="0"/>
            <c:spPr>
              <a:noFill/>
            </c:spPr>
            <c:extLst>
              <c:ext xmlns:c16="http://schemas.microsoft.com/office/drawing/2014/chart" uri="{C3380CC4-5D6E-409C-BE32-E72D297353CC}">
                <c16:uniqueId val="{00000007-D211-47FB-BA09-7EC9106331A1}"/>
              </c:ext>
            </c:extLst>
          </c:dPt>
          <c:val>
            <c:numRef>
              <c:f>'conversion rate'!$G$2:$G$6</c:f>
              <c:numCache>
                <c:formatCode>0%</c:formatCode>
                <c:ptCount val="5"/>
                <c:pt idx="0">
                  <c:v>0.25</c:v>
                </c:pt>
                <c:pt idx="1">
                  <c:v>0.25</c:v>
                </c:pt>
                <c:pt idx="2">
                  <c:v>0.25</c:v>
                </c:pt>
                <c:pt idx="3">
                  <c:v>0.25</c:v>
                </c:pt>
                <c:pt idx="4">
                  <c:v>1</c:v>
                </c:pt>
              </c:numCache>
            </c:numRef>
          </c:val>
          <c:extLst>
            <c:ext xmlns:c16="http://schemas.microsoft.com/office/drawing/2014/chart" uri="{C3380CC4-5D6E-409C-BE32-E72D297353CC}">
              <c16:uniqueId val="{00000008-D211-47FB-BA09-7EC9106331A1}"/>
            </c:ext>
          </c:extLst>
        </c:ser>
        <c:dLbls>
          <c:showLegendKey val="0"/>
          <c:showVal val="0"/>
          <c:showCatName val="0"/>
          <c:showSerName val="0"/>
          <c:showPercent val="0"/>
          <c:showBubbleSize val="0"/>
          <c:showLeaderLines val="0"/>
        </c:dLbls>
        <c:firstSliceAng val="270"/>
        <c:holeSize val="50"/>
      </c:doughnutChart>
      <c:pieChart>
        <c:varyColors val="1"/>
        <c:ser>
          <c:idx val="0"/>
          <c:order val="1"/>
          <c:tx>
            <c:strRef>
              <c:f>'conversion rate'!$J$1</c:f>
              <c:strCache>
                <c:ptCount val="1"/>
                <c:pt idx="0">
                  <c:v>PART</c:v>
                </c:pt>
              </c:strCache>
            </c:strRef>
          </c:tx>
          <c:spPr>
            <a:noFill/>
          </c:spPr>
          <c:dPt>
            <c:idx val="0"/>
            <c:bubble3D val="0"/>
            <c:spPr>
              <a:noFill/>
              <a:effectLst/>
            </c:spPr>
            <c:extLst>
              <c:ext xmlns:c16="http://schemas.microsoft.com/office/drawing/2014/chart" uri="{C3380CC4-5D6E-409C-BE32-E72D297353CC}">
                <c16:uniqueId val="{0000000A-D211-47FB-BA09-7EC9106331A1}"/>
              </c:ext>
            </c:extLst>
          </c:dPt>
          <c:dPt>
            <c:idx val="1"/>
            <c:bubble3D val="0"/>
            <c:spPr>
              <a:gradFill flip="none" rotWithShape="1">
                <a:gsLst>
                  <a:gs pos="0">
                    <a:schemeClr val="accent5">
                      <a:lumMod val="0"/>
                      <a:lumOff val="100000"/>
                    </a:schemeClr>
                  </a:gs>
                  <a:gs pos="56000">
                    <a:schemeClr val="accent5">
                      <a:lumMod val="0"/>
                      <a:lumOff val="100000"/>
                    </a:schemeClr>
                  </a:gs>
                  <a:gs pos="100000">
                    <a:schemeClr val="accent5">
                      <a:lumMod val="100000"/>
                    </a:schemeClr>
                  </a:gs>
                </a:gsLst>
                <a:path path="circle">
                  <a:fillToRect l="50000" t="-80000" r="50000" b="180000"/>
                </a:path>
                <a:tileRect/>
              </a:gradFill>
              <a:ln>
                <a:gradFill flip="none" rotWithShape="1">
                  <a:gsLst>
                    <a:gs pos="0">
                      <a:schemeClr val="accent3">
                        <a:lumMod val="5000"/>
                        <a:lumOff val="95000"/>
                      </a:schemeClr>
                    </a:gs>
                    <a:gs pos="71000">
                      <a:schemeClr val="accent3">
                        <a:lumMod val="45000"/>
                        <a:lumOff val="55000"/>
                      </a:schemeClr>
                    </a:gs>
                    <a:gs pos="79000">
                      <a:schemeClr val="accent3">
                        <a:lumMod val="45000"/>
                        <a:lumOff val="55000"/>
                      </a:schemeClr>
                    </a:gs>
                    <a:gs pos="100000">
                      <a:schemeClr val="accent3">
                        <a:lumMod val="30000"/>
                        <a:lumOff val="70000"/>
                      </a:schemeClr>
                    </a:gs>
                  </a:gsLst>
                  <a:lin ang="5400000" scaled="1"/>
                  <a:tileRect/>
                </a:gradFill>
              </a:ln>
              <a:effectLst/>
            </c:spPr>
            <c:extLst>
              <c:ext xmlns:c16="http://schemas.microsoft.com/office/drawing/2014/chart" uri="{C3380CC4-5D6E-409C-BE32-E72D297353CC}">
                <c16:uniqueId val="{0000000C-D211-47FB-BA09-7EC9106331A1}"/>
              </c:ext>
            </c:extLst>
          </c:dPt>
          <c:dPt>
            <c:idx val="2"/>
            <c:bubble3D val="0"/>
            <c:spPr>
              <a:noFill/>
              <a:effectLst/>
            </c:spPr>
            <c:extLst>
              <c:ext xmlns:c16="http://schemas.microsoft.com/office/drawing/2014/chart" uri="{C3380CC4-5D6E-409C-BE32-E72D297353CC}">
                <c16:uniqueId val="{0000000E-D211-47FB-BA09-7EC9106331A1}"/>
              </c:ext>
            </c:extLst>
          </c:dPt>
          <c:cat>
            <c:strRef>
              <c:f>'conversion rate'!$I$2:$I$4</c:f>
              <c:strCache>
                <c:ptCount val="3"/>
                <c:pt idx="0">
                  <c:v>CR</c:v>
                </c:pt>
                <c:pt idx="1">
                  <c:v>POINTER</c:v>
                </c:pt>
                <c:pt idx="2">
                  <c:v>BALANCE</c:v>
                </c:pt>
              </c:strCache>
            </c:strRef>
          </c:cat>
          <c:val>
            <c:numRef>
              <c:f>'conversion rate'!$J$2:$J$4</c:f>
              <c:numCache>
                <c:formatCode>0%</c:formatCode>
                <c:ptCount val="3"/>
                <c:pt idx="0" formatCode="0.00%">
                  <c:v>0.44444444444444442</c:v>
                </c:pt>
                <c:pt idx="1">
                  <c:v>0.02</c:v>
                </c:pt>
                <c:pt idx="2" formatCode="0.00%">
                  <c:v>1.5355555555555556</c:v>
                </c:pt>
              </c:numCache>
            </c:numRef>
          </c:val>
          <c:extLst>
            <c:ext xmlns:c16="http://schemas.microsoft.com/office/drawing/2014/chart" uri="{C3380CC4-5D6E-409C-BE32-E72D297353CC}">
              <c16:uniqueId val="{0000000F-D211-47FB-BA09-7EC9106331A1}"/>
            </c:ext>
          </c:extLst>
        </c:ser>
        <c:dLbls>
          <c:showLegendKey val="0"/>
          <c:showVal val="0"/>
          <c:showCatName val="0"/>
          <c:showSerName val="0"/>
          <c:showPercent val="0"/>
          <c:showBubbleSize val="0"/>
          <c:showLeaderLines val="1"/>
        </c:dLbls>
        <c:firstSliceAng val="270"/>
      </c:pieChart>
    </c:plotArea>
    <c:plotVisOnly val="1"/>
    <c:dispBlanksAs val="gap"/>
    <c:showDLblsOverMax val="0"/>
    <c:extLst/>
  </c:chart>
  <c:spPr>
    <a:noFill/>
    <a:ln>
      <a:noFill/>
    </a:ln>
  </c:spPr>
  <c:txPr>
    <a:bodyPr/>
    <a:lstStyle/>
    <a:p>
      <a:pPr>
        <a:defRPr>
          <a:solidFill>
            <a:schemeClr val="bg1"/>
          </a:solidFill>
        </a:defRPr>
      </a:pPr>
      <a:endParaRPr lang="en-NG"/>
    </a:p>
  </c:txPr>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Salesperson!$H$4</c:f>
              <c:strCache>
                <c:ptCount val="1"/>
                <c:pt idx="0">
                  <c:v>client</c:v>
                </c:pt>
              </c:strCache>
            </c:strRef>
          </c:tx>
          <c:spPr>
            <a:solidFill>
              <a:schemeClr val="accent3">
                <a:lumMod val="60000"/>
                <a:lumOff val="40000"/>
              </a:schemeClr>
            </a:solidFill>
            <a:ln>
              <a:noFill/>
            </a:ln>
            <a:effectLst/>
          </c:spPr>
          <c:invertIfNegative val="0"/>
          <c:cat>
            <c:strRef>
              <c:f>Salesperson!$G$5:$G$10</c:f>
              <c:strCache>
                <c:ptCount val="6"/>
                <c:pt idx="0">
                  <c:v>Ahmed</c:v>
                </c:pt>
                <c:pt idx="1">
                  <c:v>Chioma</c:v>
                </c:pt>
                <c:pt idx="2">
                  <c:v>Chukwudi</c:v>
                </c:pt>
                <c:pt idx="3">
                  <c:v>Funmi</c:v>
                </c:pt>
                <c:pt idx="4">
                  <c:v>Ngozi</c:v>
                </c:pt>
                <c:pt idx="5">
                  <c:v>Olumide</c:v>
                </c:pt>
              </c:strCache>
            </c:strRef>
          </c:cat>
          <c:val>
            <c:numRef>
              <c:f>Salesperson!$H$5:$H$10</c:f>
              <c:numCache>
                <c:formatCode>General</c:formatCode>
                <c:ptCount val="6"/>
                <c:pt idx="0">
                  <c:v>5</c:v>
                </c:pt>
                <c:pt idx="1">
                  <c:v>20</c:v>
                </c:pt>
                <c:pt idx="2">
                  <c:v>18</c:v>
                </c:pt>
                <c:pt idx="3">
                  <c:v>28</c:v>
                </c:pt>
                <c:pt idx="4">
                  <c:v>15</c:v>
                </c:pt>
                <c:pt idx="5">
                  <c:v>14</c:v>
                </c:pt>
              </c:numCache>
            </c:numRef>
          </c:val>
          <c:extLst>
            <c:ext xmlns:c16="http://schemas.microsoft.com/office/drawing/2014/chart" uri="{C3380CC4-5D6E-409C-BE32-E72D297353CC}">
              <c16:uniqueId val="{00000000-957C-41BB-B1F7-7A458F998F7F}"/>
            </c:ext>
          </c:extLst>
        </c:ser>
        <c:ser>
          <c:idx val="1"/>
          <c:order val="1"/>
          <c:tx>
            <c:strRef>
              <c:f>Salesperson!$I$4</c:f>
              <c:strCache>
                <c:ptCount val="1"/>
                <c:pt idx="0">
                  <c:v>leads</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Salesperson!$G$5:$G$10</c:f>
              <c:strCache>
                <c:ptCount val="6"/>
                <c:pt idx="0">
                  <c:v>Ahmed</c:v>
                </c:pt>
                <c:pt idx="1">
                  <c:v>Chioma</c:v>
                </c:pt>
                <c:pt idx="2">
                  <c:v>Chukwudi</c:v>
                </c:pt>
                <c:pt idx="3">
                  <c:v>Funmi</c:v>
                </c:pt>
                <c:pt idx="4">
                  <c:v>Ngozi</c:v>
                </c:pt>
                <c:pt idx="5">
                  <c:v>Olumide</c:v>
                </c:pt>
              </c:strCache>
            </c:strRef>
          </c:cat>
          <c:val>
            <c:numRef>
              <c:f>Salesperson!$I$5:$I$10</c:f>
              <c:numCache>
                <c:formatCode>General</c:formatCode>
                <c:ptCount val="6"/>
                <c:pt idx="0">
                  <c:v>22</c:v>
                </c:pt>
                <c:pt idx="1">
                  <c:v>48</c:v>
                </c:pt>
                <c:pt idx="2">
                  <c:v>43</c:v>
                </c:pt>
                <c:pt idx="3">
                  <c:v>49</c:v>
                </c:pt>
                <c:pt idx="4">
                  <c:v>21</c:v>
                </c:pt>
                <c:pt idx="5">
                  <c:v>42</c:v>
                </c:pt>
              </c:numCache>
            </c:numRef>
          </c:val>
          <c:extLst>
            <c:ext xmlns:c16="http://schemas.microsoft.com/office/drawing/2014/chart" uri="{C3380CC4-5D6E-409C-BE32-E72D297353CC}">
              <c16:uniqueId val="{00000001-957C-41BB-B1F7-7A458F998F7F}"/>
            </c:ext>
          </c:extLst>
        </c:ser>
        <c:dLbls>
          <c:showLegendKey val="0"/>
          <c:showVal val="0"/>
          <c:showCatName val="0"/>
          <c:showSerName val="0"/>
          <c:showPercent val="0"/>
          <c:showBubbleSize val="0"/>
        </c:dLbls>
        <c:gapWidth val="219"/>
        <c:overlap val="-27"/>
        <c:axId val="414504848"/>
        <c:axId val="1744167248"/>
      </c:barChart>
      <c:catAx>
        <c:axId val="41450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744167248"/>
        <c:crosses val="autoZero"/>
        <c:auto val="1"/>
        <c:lblAlgn val="ctr"/>
        <c:lblOffset val="100"/>
        <c:noMultiLvlLbl val="0"/>
      </c:catAx>
      <c:valAx>
        <c:axId val="174416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4145048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84363656670575E-2"/>
          <c:y val="0.19964138146098073"/>
          <c:w val="0.85231117273272539"/>
          <c:h val="0.60591781169818226"/>
        </c:manualLayout>
      </c:layout>
      <c:barChart>
        <c:barDir val="bar"/>
        <c:grouping val="percentStacked"/>
        <c:varyColors val="0"/>
        <c:ser>
          <c:idx val="0"/>
          <c:order val="0"/>
          <c:tx>
            <c:strRef>
              <c:f>'Client Gender'!$H$10</c:f>
              <c:strCache>
                <c:ptCount val="1"/>
                <c:pt idx="0">
                  <c:v>CLIENT</c:v>
                </c:pt>
              </c:strCache>
            </c:strRef>
          </c:tx>
          <c:spPr>
            <a:solidFill>
              <a:schemeClr val="tx1"/>
            </a:solidFill>
            <a:ln>
              <a:solidFill>
                <a:sysClr val="windowText" lastClr="000000"/>
              </a:solidFill>
            </a:ln>
            <a:effectLst/>
          </c:spPr>
          <c:invertIfNegative val="0"/>
          <c:dLbls>
            <c:delete val="1"/>
          </c:dLbls>
          <c:cat>
            <c:strRef>
              <c:f>'Client Gender'!$G$12</c:f>
              <c:strCache>
                <c:ptCount val="1"/>
                <c:pt idx="0">
                  <c:v>Male</c:v>
                </c:pt>
              </c:strCache>
            </c:strRef>
          </c:cat>
          <c:val>
            <c:numRef>
              <c:f>'Client Gender'!$H$12</c:f>
              <c:numCache>
                <c:formatCode>0.00%</c:formatCode>
                <c:ptCount val="1"/>
                <c:pt idx="0">
                  <c:v>0.72277227722772275</c:v>
                </c:pt>
              </c:numCache>
            </c:numRef>
          </c:val>
          <c:extLst>
            <c:ext xmlns:c16="http://schemas.microsoft.com/office/drawing/2014/chart" uri="{C3380CC4-5D6E-409C-BE32-E72D297353CC}">
              <c16:uniqueId val="{00000000-3D71-457D-A52F-A260F943BDAD}"/>
            </c:ext>
          </c:extLst>
        </c:ser>
        <c:ser>
          <c:idx val="1"/>
          <c:order val="1"/>
          <c:tx>
            <c:strRef>
              <c:f>'Client Gender'!$I$10</c:f>
              <c:strCache>
                <c:ptCount val="1"/>
                <c:pt idx="0">
                  <c:v>PROSPECT</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 Gender'!$G$12</c:f>
              <c:strCache>
                <c:ptCount val="1"/>
                <c:pt idx="0">
                  <c:v>Male</c:v>
                </c:pt>
              </c:strCache>
            </c:strRef>
          </c:cat>
          <c:val>
            <c:numRef>
              <c:f>'Client Gender'!$I$12</c:f>
              <c:numCache>
                <c:formatCode>0.00%</c:formatCode>
                <c:ptCount val="1"/>
                <c:pt idx="0">
                  <c:v>0.27722772277227725</c:v>
                </c:pt>
              </c:numCache>
            </c:numRef>
          </c:val>
          <c:extLst>
            <c:ext xmlns:c16="http://schemas.microsoft.com/office/drawing/2014/chart" uri="{C3380CC4-5D6E-409C-BE32-E72D297353CC}">
              <c16:uniqueId val="{00000001-3D71-457D-A52F-A260F943BDAD}"/>
            </c:ext>
          </c:extLst>
        </c:ser>
        <c:dLbls>
          <c:dLblPos val="ctr"/>
          <c:showLegendKey val="0"/>
          <c:showVal val="1"/>
          <c:showCatName val="0"/>
          <c:showSerName val="0"/>
          <c:showPercent val="0"/>
          <c:showBubbleSize val="0"/>
        </c:dLbls>
        <c:gapWidth val="150"/>
        <c:overlap val="100"/>
        <c:axId val="1591226704"/>
        <c:axId val="1744186928"/>
      </c:barChart>
      <c:catAx>
        <c:axId val="1591226704"/>
        <c:scaling>
          <c:orientation val="minMax"/>
        </c:scaling>
        <c:delete val="1"/>
        <c:axPos val="l"/>
        <c:numFmt formatCode="General" sourceLinked="1"/>
        <c:majorTickMark val="none"/>
        <c:minorTickMark val="none"/>
        <c:tickLblPos val="nextTo"/>
        <c:crossAx val="1744186928"/>
        <c:crosses val="autoZero"/>
        <c:auto val="1"/>
        <c:lblAlgn val="ctr"/>
        <c:lblOffset val="100"/>
        <c:noMultiLvlLbl val="0"/>
      </c:catAx>
      <c:valAx>
        <c:axId val="1744186928"/>
        <c:scaling>
          <c:orientation val="minMax"/>
        </c:scaling>
        <c:delete val="1"/>
        <c:axPos val="b"/>
        <c:numFmt formatCode="0%" sourceLinked="1"/>
        <c:majorTickMark val="none"/>
        <c:minorTickMark val="none"/>
        <c:tickLblPos val="nextTo"/>
        <c:crossAx val="15912267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'Client Gender'!$H$10</c:f>
              <c:strCache>
                <c:ptCount val="1"/>
                <c:pt idx="0">
                  <c:v>CLIENT</c:v>
                </c:pt>
              </c:strCache>
            </c:strRef>
          </c:tx>
          <c:spPr>
            <a:solidFill>
              <a:schemeClr val="tx1"/>
            </a:solidFill>
            <a:ln>
              <a:noFill/>
            </a:ln>
            <a:effectLst/>
          </c:spPr>
          <c:invertIfNegative val="0"/>
          <c:dLbls>
            <c:delete val="1"/>
          </c:dLbls>
          <c:cat>
            <c:strRef>
              <c:f>'Client Gender'!$G$11</c:f>
              <c:strCache>
                <c:ptCount val="1"/>
                <c:pt idx="0">
                  <c:v>Female</c:v>
                </c:pt>
              </c:strCache>
            </c:strRef>
          </c:cat>
          <c:val>
            <c:numRef>
              <c:f>'Client Gender'!$H$11</c:f>
              <c:numCache>
                <c:formatCode>0.00%</c:formatCode>
                <c:ptCount val="1"/>
                <c:pt idx="0">
                  <c:v>0.21774193548387097</c:v>
                </c:pt>
              </c:numCache>
            </c:numRef>
          </c:val>
          <c:extLst>
            <c:ext xmlns:c16="http://schemas.microsoft.com/office/drawing/2014/chart" uri="{C3380CC4-5D6E-409C-BE32-E72D297353CC}">
              <c16:uniqueId val="{00000000-E372-4C0D-B43B-B90BE479DE86}"/>
            </c:ext>
          </c:extLst>
        </c:ser>
        <c:ser>
          <c:idx val="1"/>
          <c:order val="1"/>
          <c:tx>
            <c:strRef>
              <c:f>'Client Gender'!$I$10</c:f>
              <c:strCache>
                <c:ptCount val="1"/>
                <c:pt idx="0">
                  <c:v>PROSPECT</c:v>
                </c:pt>
              </c:strCache>
            </c:strRef>
          </c:tx>
          <c:spPr>
            <a:solidFill>
              <a:srgbClr val="FFFF00"/>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0-9620-465B-8FC3-BDA3A1C8D0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 Gender'!$G$11</c:f>
              <c:strCache>
                <c:ptCount val="1"/>
                <c:pt idx="0">
                  <c:v>Female</c:v>
                </c:pt>
              </c:strCache>
            </c:strRef>
          </c:cat>
          <c:val>
            <c:numRef>
              <c:f>'Client Gender'!$I$11</c:f>
              <c:numCache>
                <c:formatCode>0.00%</c:formatCode>
                <c:ptCount val="1"/>
                <c:pt idx="0">
                  <c:v>0.782258064516129</c:v>
                </c:pt>
              </c:numCache>
            </c:numRef>
          </c:val>
          <c:extLst>
            <c:ext xmlns:c16="http://schemas.microsoft.com/office/drawing/2014/chart" uri="{C3380CC4-5D6E-409C-BE32-E72D297353CC}">
              <c16:uniqueId val="{00000001-E372-4C0D-B43B-B90BE479DE86}"/>
            </c:ext>
          </c:extLst>
        </c:ser>
        <c:dLbls>
          <c:dLblPos val="ctr"/>
          <c:showLegendKey val="0"/>
          <c:showVal val="1"/>
          <c:showCatName val="0"/>
          <c:showSerName val="0"/>
          <c:showPercent val="0"/>
          <c:showBubbleSize val="0"/>
        </c:dLbls>
        <c:gapWidth val="150"/>
        <c:overlap val="100"/>
        <c:axId val="414513664"/>
        <c:axId val="1744208048"/>
      </c:barChart>
      <c:catAx>
        <c:axId val="414513664"/>
        <c:scaling>
          <c:orientation val="minMax"/>
        </c:scaling>
        <c:delete val="1"/>
        <c:axPos val="l"/>
        <c:numFmt formatCode="General" sourceLinked="1"/>
        <c:majorTickMark val="none"/>
        <c:minorTickMark val="none"/>
        <c:tickLblPos val="nextTo"/>
        <c:crossAx val="1744208048"/>
        <c:crosses val="autoZero"/>
        <c:auto val="1"/>
        <c:lblAlgn val="ctr"/>
        <c:lblOffset val="100"/>
        <c:noMultiLvlLbl val="0"/>
      </c:catAx>
      <c:valAx>
        <c:axId val="1744208048"/>
        <c:scaling>
          <c:orientation val="minMax"/>
        </c:scaling>
        <c:delete val="1"/>
        <c:axPos val="b"/>
        <c:numFmt formatCode="0%" sourceLinked="1"/>
        <c:majorTickMark val="none"/>
        <c:minorTickMark val="none"/>
        <c:tickLblPos val="nextTo"/>
        <c:crossAx val="414513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'Product Performance'!$F$24</c:f>
              <c:strCache>
                <c:ptCount val="1"/>
                <c:pt idx="0">
                  <c:v>Commercial</c:v>
                </c:pt>
              </c:strCache>
            </c:strRef>
          </c:tx>
          <c:spPr>
            <a:ln>
              <a:noFill/>
            </a:ln>
          </c:spPr>
          <c:dPt>
            <c:idx val="0"/>
            <c:bubble3D val="0"/>
            <c:spPr>
              <a:solidFill>
                <a:srgbClr val="66FF33"/>
              </a:solidFill>
              <a:ln w="19050">
                <a:noFill/>
              </a:ln>
              <a:effectLst/>
            </c:spPr>
            <c:extLst>
              <c:ext xmlns:c16="http://schemas.microsoft.com/office/drawing/2014/chart" uri="{C3380CC4-5D6E-409C-BE32-E72D297353CC}">
                <c16:uniqueId val="{00000001-3AEB-42B3-86D2-69972E39C6BA}"/>
              </c:ext>
            </c:extLst>
          </c:dPt>
          <c:dPt>
            <c:idx val="1"/>
            <c:bubble3D val="0"/>
            <c:spPr>
              <a:solidFill>
                <a:schemeClr val="tx1"/>
              </a:solidFill>
              <a:ln w="19050">
                <a:noFill/>
              </a:ln>
              <a:effectLst/>
            </c:spPr>
            <c:extLst>
              <c:ext xmlns:c16="http://schemas.microsoft.com/office/drawing/2014/chart" uri="{C3380CC4-5D6E-409C-BE32-E72D297353CC}">
                <c16:uniqueId val="{00000003-3AEB-42B3-86D2-69972E39C6BA}"/>
              </c:ext>
            </c:extLst>
          </c:dPt>
          <c:cat>
            <c:strRef>
              <c:f>'Product Performance'!$G$23:$H$23</c:f>
              <c:strCache>
                <c:ptCount val="2"/>
                <c:pt idx="0">
                  <c:v>Client</c:v>
                </c:pt>
                <c:pt idx="1">
                  <c:v>Prospect</c:v>
                </c:pt>
              </c:strCache>
            </c:strRef>
          </c:cat>
          <c:val>
            <c:numRef>
              <c:f>'Product Performance'!$G$24:$H$24</c:f>
              <c:numCache>
                <c:formatCode>0.00%</c:formatCode>
                <c:ptCount val="2"/>
                <c:pt idx="0">
                  <c:v>0.34615384615384615</c:v>
                </c:pt>
                <c:pt idx="1">
                  <c:v>0.65380000000000005</c:v>
                </c:pt>
              </c:numCache>
            </c:numRef>
          </c:val>
          <c:extLst>
            <c:ext xmlns:c16="http://schemas.microsoft.com/office/drawing/2014/chart" uri="{C3380CC4-5D6E-409C-BE32-E72D297353CC}">
              <c16:uniqueId val="{00000004-3AEB-42B3-86D2-69972E39C6BA}"/>
            </c:ext>
          </c:extLst>
        </c:ser>
        <c:ser>
          <c:idx val="1"/>
          <c:order val="1"/>
          <c:tx>
            <c:strRef>
              <c:f>'Product Performance'!$F$25</c:f>
              <c:strCache>
                <c:ptCount val="1"/>
                <c:pt idx="0">
                  <c:v>Industrial</c:v>
                </c:pt>
              </c:strCache>
            </c:strRef>
          </c:tx>
          <c:spPr>
            <a:solidFill>
              <a:schemeClr val="tx1"/>
            </a:solidFill>
            <a:ln>
              <a:noFill/>
            </a:ln>
          </c:spPr>
          <c:dPt>
            <c:idx val="0"/>
            <c:bubble3D val="0"/>
            <c:spPr>
              <a:solidFill>
                <a:schemeClr val="tx1"/>
              </a:solidFill>
              <a:ln w="19050">
                <a:noFill/>
              </a:ln>
              <a:effectLst/>
            </c:spPr>
            <c:extLst>
              <c:ext xmlns:c16="http://schemas.microsoft.com/office/drawing/2014/chart" uri="{C3380CC4-5D6E-409C-BE32-E72D297353CC}">
                <c16:uniqueId val="{00000006-3AEB-42B3-86D2-69972E39C6BA}"/>
              </c:ext>
            </c:extLst>
          </c:dPt>
          <c:dPt>
            <c:idx val="1"/>
            <c:bubble3D val="0"/>
            <c:spPr>
              <a:solidFill>
                <a:schemeClr val="tx1"/>
              </a:solidFill>
              <a:ln w="19050">
                <a:noFill/>
              </a:ln>
              <a:effectLst/>
            </c:spPr>
            <c:extLst>
              <c:ext xmlns:c16="http://schemas.microsoft.com/office/drawing/2014/chart" uri="{C3380CC4-5D6E-409C-BE32-E72D297353CC}">
                <c16:uniqueId val="{00000008-3AEB-42B3-86D2-69972E39C6BA}"/>
              </c:ext>
            </c:extLst>
          </c:dPt>
          <c:cat>
            <c:strRef>
              <c:f>'Product Performance'!$G$23:$H$23</c:f>
              <c:strCache>
                <c:ptCount val="2"/>
                <c:pt idx="0">
                  <c:v>Client</c:v>
                </c:pt>
                <c:pt idx="1">
                  <c:v>Prospect</c:v>
                </c:pt>
              </c:strCache>
            </c:strRef>
          </c:cat>
          <c:val>
            <c:numRef>
              <c:f>'Product Performance'!$G$25:$H$25</c:f>
              <c:numCache>
                <c:formatCode>0.00%</c:formatCode>
                <c:ptCount val="2"/>
                <c:pt idx="0">
                  <c:v>0</c:v>
                </c:pt>
                <c:pt idx="1">
                  <c:v>1</c:v>
                </c:pt>
              </c:numCache>
            </c:numRef>
          </c:val>
          <c:extLst>
            <c:ext xmlns:c16="http://schemas.microsoft.com/office/drawing/2014/chart" uri="{C3380CC4-5D6E-409C-BE32-E72D297353CC}">
              <c16:uniqueId val="{00000009-3AEB-42B3-86D2-69972E39C6BA}"/>
            </c:ext>
          </c:extLst>
        </c:ser>
        <c:ser>
          <c:idx val="2"/>
          <c:order val="2"/>
          <c:tx>
            <c:strRef>
              <c:f>'Product Performance'!$F$26</c:f>
              <c:strCache>
                <c:ptCount val="1"/>
                <c:pt idx="0">
                  <c:v>Residential</c:v>
                </c:pt>
              </c:strCache>
            </c:strRef>
          </c:tx>
          <c:spPr>
            <a:ln>
              <a:noFill/>
            </a:ln>
          </c:spPr>
          <c:dPt>
            <c:idx val="0"/>
            <c:bubble3D val="0"/>
            <c:spPr>
              <a:solidFill>
                <a:srgbClr val="47E7CC"/>
              </a:solidFill>
              <a:ln w="19050">
                <a:noFill/>
              </a:ln>
              <a:effectLst/>
            </c:spPr>
            <c:extLst>
              <c:ext xmlns:c16="http://schemas.microsoft.com/office/drawing/2014/chart" uri="{C3380CC4-5D6E-409C-BE32-E72D297353CC}">
                <c16:uniqueId val="{0000000B-3AEB-42B3-86D2-69972E39C6BA}"/>
              </c:ext>
            </c:extLst>
          </c:dPt>
          <c:dPt>
            <c:idx val="1"/>
            <c:bubble3D val="0"/>
            <c:spPr>
              <a:solidFill>
                <a:schemeClr val="tx1"/>
              </a:solidFill>
              <a:ln w="19050">
                <a:noFill/>
              </a:ln>
              <a:effectLst/>
            </c:spPr>
            <c:extLst>
              <c:ext xmlns:c16="http://schemas.microsoft.com/office/drawing/2014/chart" uri="{C3380CC4-5D6E-409C-BE32-E72D297353CC}">
                <c16:uniqueId val="{0000000D-3AEB-42B3-86D2-69972E39C6BA}"/>
              </c:ext>
            </c:extLst>
          </c:dPt>
          <c:cat>
            <c:strRef>
              <c:f>'Product Performance'!$G$23:$H$23</c:f>
              <c:strCache>
                <c:ptCount val="2"/>
                <c:pt idx="0">
                  <c:v>Client</c:v>
                </c:pt>
                <c:pt idx="1">
                  <c:v>Prospect</c:v>
                </c:pt>
              </c:strCache>
            </c:strRef>
          </c:cat>
          <c:val>
            <c:numRef>
              <c:f>'Product Performance'!$G$26:$H$26</c:f>
              <c:numCache>
                <c:formatCode>0.00%</c:formatCode>
                <c:ptCount val="2"/>
                <c:pt idx="0">
                  <c:v>0.64646464646464652</c:v>
                </c:pt>
                <c:pt idx="1">
                  <c:v>0.35349999999999998</c:v>
                </c:pt>
              </c:numCache>
            </c:numRef>
          </c:val>
          <c:extLst>
            <c:ext xmlns:c16="http://schemas.microsoft.com/office/drawing/2014/chart" uri="{C3380CC4-5D6E-409C-BE32-E72D297353CC}">
              <c16:uniqueId val="{0000000E-3AEB-42B3-86D2-69972E39C6B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Inspection!$F$13</c:f>
              <c:strCache>
                <c:ptCount val="1"/>
                <c:pt idx="0">
                  <c:v>NO </c:v>
                </c:pt>
              </c:strCache>
            </c:strRef>
          </c:tx>
          <c:spPr>
            <a:solidFill>
              <a:srgbClr val="008080"/>
            </a:solidFill>
            <a:ln>
              <a:noFill/>
            </a:ln>
          </c:spPr>
          <c:dPt>
            <c:idx val="0"/>
            <c:bubble3D val="0"/>
            <c:spPr>
              <a:solidFill>
                <a:srgbClr val="008080"/>
              </a:solidFill>
              <a:ln w="19050">
                <a:noFill/>
              </a:ln>
              <a:effectLst/>
            </c:spPr>
            <c:extLst>
              <c:ext xmlns:c16="http://schemas.microsoft.com/office/drawing/2014/chart" uri="{C3380CC4-5D6E-409C-BE32-E72D297353CC}">
                <c16:uniqueId val="{00000001-B629-4E49-B5A5-2778FAA77BAE}"/>
              </c:ext>
            </c:extLst>
          </c:dPt>
          <c:dPt>
            <c:idx val="1"/>
            <c:bubble3D val="0"/>
            <c:spPr>
              <a:solidFill>
                <a:schemeClr val="tx1"/>
              </a:solidFill>
              <a:ln w="19050">
                <a:noFill/>
              </a:ln>
              <a:effectLst/>
            </c:spPr>
            <c:extLst>
              <c:ext xmlns:c16="http://schemas.microsoft.com/office/drawing/2014/chart" uri="{C3380CC4-5D6E-409C-BE32-E72D297353CC}">
                <c16:uniqueId val="{00000003-B629-4E49-B5A5-2778FAA77BAE}"/>
              </c:ext>
            </c:extLst>
          </c:dPt>
          <c:cat>
            <c:strRef>
              <c:f>Inspection!$G$12:$H$12</c:f>
              <c:strCache>
                <c:ptCount val="2"/>
                <c:pt idx="0">
                  <c:v>PERCENTAGE PAID</c:v>
                </c:pt>
                <c:pt idx="1">
                  <c:v>not paid</c:v>
                </c:pt>
              </c:strCache>
            </c:strRef>
          </c:cat>
          <c:val>
            <c:numRef>
              <c:f>Inspection!$G$13:$H$13</c:f>
              <c:numCache>
                <c:formatCode>0%</c:formatCode>
                <c:ptCount val="2"/>
                <c:pt idx="0" formatCode="0.0%">
                  <c:v>0.1111111111111111</c:v>
                </c:pt>
                <c:pt idx="1">
                  <c:v>0.88888888888888884</c:v>
                </c:pt>
              </c:numCache>
            </c:numRef>
          </c:val>
          <c:extLst>
            <c:ext xmlns:c16="http://schemas.microsoft.com/office/drawing/2014/chart" uri="{C3380CC4-5D6E-409C-BE32-E72D297353CC}">
              <c16:uniqueId val="{00000004-B629-4E49-B5A5-2778FAA77BA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Inspection!$F$14</c:f>
              <c:strCache>
                <c:ptCount val="1"/>
                <c:pt idx="0">
                  <c:v>YES</c:v>
                </c:pt>
              </c:strCache>
            </c:strRef>
          </c:tx>
          <c:spPr>
            <a:ln>
              <a:noFill/>
            </a:ln>
          </c:spPr>
          <c:dPt>
            <c:idx val="0"/>
            <c:bubble3D val="0"/>
            <c:spPr>
              <a:solidFill>
                <a:srgbClr val="00FFFF"/>
              </a:solidFill>
              <a:ln w="19050">
                <a:noFill/>
              </a:ln>
              <a:effectLst/>
            </c:spPr>
            <c:extLst>
              <c:ext xmlns:c16="http://schemas.microsoft.com/office/drawing/2014/chart" uri="{C3380CC4-5D6E-409C-BE32-E72D297353CC}">
                <c16:uniqueId val="{00000001-314C-4EC9-8854-D4BEFB5294A8}"/>
              </c:ext>
            </c:extLst>
          </c:dPt>
          <c:dPt>
            <c:idx val="1"/>
            <c:bubble3D val="0"/>
            <c:spPr>
              <a:solidFill>
                <a:schemeClr val="tx1"/>
              </a:solidFill>
              <a:ln w="19050">
                <a:noFill/>
              </a:ln>
              <a:effectLst/>
            </c:spPr>
            <c:extLst>
              <c:ext xmlns:c16="http://schemas.microsoft.com/office/drawing/2014/chart" uri="{C3380CC4-5D6E-409C-BE32-E72D297353CC}">
                <c16:uniqueId val="{00000003-314C-4EC9-8854-D4BEFB5294A8}"/>
              </c:ext>
            </c:extLst>
          </c:dPt>
          <c:cat>
            <c:strRef>
              <c:f>Inspection!$G$12:$H$12</c:f>
              <c:strCache>
                <c:ptCount val="2"/>
                <c:pt idx="0">
                  <c:v>PERCENTAGE PAID</c:v>
                </c:pt>
                <c:pt idx="1">
                  <c:v>not paid</c:v>
                </c:pt>
              </c:strCache>
            </c:strRef>
          </c:cat>
          <c:val>
            <c:numRef>
              <c:f>Inspection!$G$14:$H$14</c:f>
              <c:numCache>
                <c:formatCode>0%</c:formatCode>
                <c:ptCount val="2"/>
                <c:pt idx="0" formatCode="0.0%">
                  <c:v>0.54970760233918126</c:v>
                </c:pt>
                <c:pt idx="1">
                  <c:v>0.45029239766081869</c:v>
                </c:pt>
              </c:numCache>
            </c:numRef>
          </c:val>
          <c:extLst>
            <c:ext xmlns:c16="http://schemas.microsoft.com/office/drawing/2014/chart" uri="{C3380CC4-5D6E-409C-BE32-E72D297353CC}">
              <c16:uniqueId val="{00000004-314C-4EC9-8854-D4BEFB5294A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090523179175605E-2"/>
          <c:y val="0.10606787852943445"/>
          <c:w val="0.90981895364164878"/>
          <c:h val="0.64440191030263494"/>
        </c:manualLayout>
      </c:layout>
      <c:barChart>
        <c:barDir val="col"/>
        <c:grouping val="percentStacked"/>
        <c:varyColors val="0"/>
        <c:ser>
          <c:idx val="0"/>
          <c:order val="0"/>
          <c:tx>
            <c:strRef>
              <c:f>'Week of the Month'!$G$4</c:f>
              <c:strCache>
                <c:ptCount val="1"/>
                <c:pt idx="0">
                  <c:v>Client</c:v>
                </c:pt>
              </c:strCache>
            </c:strRef>
          </c:tx>
          <c:spPr>
            <a:solidFill>
              <a:srgbClr val="D600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of the Month'!$F$5:$F$9</c:f>
              <c:strCache>
                <c:ptCount val="5"/>
                <c:pt idx="0">
                  <c:v>Week 1</c:v>
                </c:pt>
                <c:pt idx="1">
                  <c:v>Week 2</c:v>
                </c:pt>
                <c:pt idx="2">
                  <c:v>Week 3</c:v>
                </c:pt>
                <c:pt idx="3">
                  <c:v>Week 4</c:v>
                </c:pt>
                <c:pt idx="4">
                  <c:v>Week 5</c:v>
                </c:pt>
              </c:strCache>
            </c:strRef>
          </c:cat>
          <c:val>
            <c:numRef>
              <c:f>'Week of the Month'!$G$5:$G$9</c:f>
              <c:numCache>
                <c:formatCode>General</c:formatCode>
                <c:ptCount val="5"/>
                <c:pt idx="0">
                  <c:v>19</c:v>
                </c:pt>
                <c:pt idx="1">
                  <c:v>21</c:v>
                </c:pt>
                <c:pt idx="2">
                  <c:v>23</c:v>
                </c:pt>
                <c:pt idx="3">
                  <c:v>21</c:v>
                </c:pt>
                <c:pt idx="4">
                  <c:v>16</c:v>
                </c:pt>
              </c:numCache>
            </c:numRef>
          </c:val>
          <c:extLst>
            <c:ext xmlns:c16="http://schemas.microsoft.com/office/drawing/2014/chart" uri="{C3380CC4-5D6E-409C-BE32-E72D297353CC}">
              <c16:uniqueId val="{00000000-922F-4D80-91B8-C4139954C7E9}"/>
            </c:ext>
          </c:extLst>
        </c:ser>
        <c:ser>
          <c:idx val="1"/>
          <c:order val="1"/>
          <c:tx>
            <c:strRef>
              <c:f>'Week of the Month'!$H$4</c:f>
              <c:strCache>
                <c:ptCount val="1"/>
                <c:pt idx="0">
                  <c:v>Prospect</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of the Month'!$F$5:$F$9</c:f>
              <c:strCache>
                <c:ptCount val="5"/>
                <c:pt idx="0">
                  <c:v>Week 1</c:v>
                </c:pt>
                <c:pt idx="1">
                  <c:v>Week 2</c:v>
                </c:pt>
                <c:pt idx="2">
                  <c:v>Week 3</c:v>
                </c:pt>
                <c:pt idx="3">
                  <c:v>Week 4</c:v>
                </c:pt>
                <c:pt idx="4">
                  <c:v>Week 5</c:v>
                </c:pt>
              </c:strCache>
            </c:strRef>
          </c:cat>
          <c:val>
            <c:numRef>
              <c:f>'Week of the Month'!$H$5:$H$9</c:f>
              <c:numCache>
                <c:formatCode>0.0%</c:formatCode>
                <c:ptCount val="5"/>
                <c:pt idx="0">
                  <c:v>0.51400000000000001</c:v>
                </c:pt>
                <c:pt idx="1">
                  <c:v>0.38900000000000001</c:v>
                </c:pt>
                <c:pt idx="2">
                  <c:v>0.46</c:v>
                </c:pt>
                <c:pt idx="3">
                  <c:v>0.47699999999999998</c:v>
                </c:pt>
                <c:pt idx="4">
                  <c:v>0.4</c:v>
                </c:pt>
              </c:numCache>
            </c:numRef>
          </c:val>
          <c:extLst>
            <c:ext xmlns:c16="http://schemas.microsoft.com/office/drawing/2014/chart" uri="{C3380CC4-5D6E-409C-BE32-E72D297353CC}">
              <c16:uniqueId val="{00000001-922F-4D80-91B8-C4139954C7E9}"/>
            </c:ext>
          </c:extLst>
        </c:ser>
        <c:dLbls>
          <c:showLegendKey val="0"/>
          <c:showVal val="0"/>
          <c:showCatName val="0"/>
          <c:showSerName val="0"/>
          <c:showPercent val="0"/>
          <c:showBubbleSize val="0"/>
        </c:dLbls>
        <c:gapWidth val="150"/>
        <c:overlap val="100"/>
        <c:axId val="1831779343"/>
        <c:axId val="1778210607"/>
      </c:barChart>
      <c:catAx>
        <c:axId val="183177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778210607"/>
        <c:crosses val="autoZero"/>
        <c:auto val="1"/>
        <c:lblAlgn val="ctr"/>
        <c:lblOffset val="100"/>
        <c:noMultiLvlLbl val="0"/>
      </c:catAx>
      <c:valAx>
        <c:axId val="1778210607"/>
        <c:scaling>
          <c:orientation val="minMax"/>
        </c:scaling>
        <c:delete val="1"/>
        <c:axPos val="l"/>
        <c:numFmt formatCode="0%" sourceLinked="1"/>
        <c:majorTickMark val="none"/>
        <c:minorTickMark val="none"/>
        <c:tickLblPos val="nextTo"/>
        <c:crossAx val="1831779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'Week of the Month'!$G$4</c:f>
              <c:strCache>
                <c:ptCount val="1"/>
                <c:pt idx="0">
                  <c:v>Client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of the Month'!$F$5:$F$9</c:f>
              <c:strCache>
                <c:ptCount val="5"/>
                <c:pt idx="0">
                  <c:v>Week 1</c:v>
                </c:pt>
                <c:pt idx="1">
                  <c:v>Week 2</c:v>
                </c:pt>
                <c:pt idx="2">
                  <c:v>Week 3</c:v>
                </c:pt>
                <c:pt idx="3">
                  <c:v>Week 4</c:v>
                </c:pt>
                <c:pt idx="4">
                  <c:v>Week 5</c:v>
                </c:pt>
              </c:strCache>
            </c:strRef>
          </c:cat>
          <c:val>
            <c:numRef>
              <c:f>'Week of the Month'!$G$5:$G$9</c:f>
              <c:numCache>
                <c:formatCode>General</c:formatCode>
                <c:ptCount val="5"/>
                <c:pt idx="0">
                  <c:v>19</c:v>
                </c:pt>
                <c:pt idx="1">
                  <c:v>21</c:v>
                </c:pt>
                <c:pt idx="2">
                  <c:v>23</c:v>
                </c:pt>
                <c:pt idx="3">
                  <c:v>21</c:v>
                </c:pt>
                <c:pt idx="4">
                  <c:v>16</c:v>
                </c:pt>
              </c:numCache>
            </c:numRef>
          </c:val>
          <c:extLst>
            <c:ext xmlns:c16="http://schemas.microsoft.com/office/drawing/2014/chart" uri="{C3380CC4-5D6E-409C-BE32-E72D297353CC}">
              <c16:uniqueId val="{00000000-9F7C-480E-A45D-8AC5EB70D720}"/>
            </c:ext>
          </c:extLst>
        </c:ser>
        <c:dLbls>
          <c:showLegendKey val="0"/>
          <c:showVal val="0"/>
          <c:showCatName val="0"/>
          <c:showSerName val="0"/>
          <c:showPercent val="0"/>
          <c:showBubbleSize val="0"/>
        </c:dLbls>
        <c:gapWidth val="219"/>
        <c:axId val="451881391"/>
        <c:axId val="741442799"/>
      </c:barChart>
      <c:catAx>
        <c:axId val="451881391"/>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741442799"/>
        <c:crosses val="autoZero"/>
        <c:auto val="1"/>
        <c:lblAlgn val="ctr"/>
        <c:lblOffset val="100"/>
        <c:noMultiLvlLbl val="0"/>
      </c:catAx>
      <c:valAx>
        <c:axId val="741442799"/>
        <c:scaling>
          <c:orientation val="maxMin"/>
        </c:scaling>
        <c:delete val="1"/>
        <c:axPos val="b"/>
        <c:numFmt formatCode="General" sourceLinked="1"/>
        <c:majorTickMark val="none"/>
        <c:minorTickMark val="none"/>
        <c:tickLblPos val="nextTo"/>
        <c:crossAx val="45188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 of the Month'!$I$5:$I$9</c:f>
              <c:numCache>
                <c:formatCode>General</c:formatCode>
                <c:ptCount val="5"/>
                <c:pt idx="0">
                  <c:v>37</c:v>
                </c:pt>
                <c:pt idx="1">
                  <c:v>54</c:v>
                </c:pt>
                <c:pt idx="2">
                  <c:v>50</c:v>
                </c:pt>
                <c:pt idx="3">
                  <c:v>44</c:v>
                </c:pt>
                <c:pt idx="4">
                  <c:v>40</c:v>
                </c:pt>
              </c:numCache>
            </c:numRef>
          </c:val>
          <c:extLst>
            <c:ext xmlns:c16="http://schemas.microsoft.com/office/drawing/2014/chart" uri="{C3380CC4-5D6E-409C-BE32-E72D297353CC}">
              <c16:uniqueId val="{00000000-D444-44ED-BCA9-EEEE88A7571A}"/>
            </c:ext>
          </c:extLst>
        </c:ser>
        <c:dLbls>
          <c:showLegendKey val="0"/>
          <c:showVal val="0"/>
          <c:showCatName val="0"/>
          <c:showSerName val="0"/>
          <c:showPercent val="0"/>
          <c:showBubbleSize val="0"/>
        </c:dLbls>
        <c:gapWidth val="182"/>
        <c:axId val="1977520895"/>
        <c:axId val="1964822831"/>
      </c:barChart>
      <c:catAx>
        <c:axId val="1977520895"/>
        <c:scaling>
          <c:orientation val="minMax"/>
        </c:scaling>
        <c:delete val="1"/>
        <c:axPos val="l"/>
        <c:majorTickMark val="none"/>
        <c:minorTickMark val="none"/>
        <c:tickLblPos val="nextTo"/>
        <c:crossAx val="1964822831"/>
        <c:crosses val="autoZero"/>
        <c:auto val="1"/>
        <c:lblAlgn val="ctr"/>
        <c:lblOffset val="100"/>
        <c:noMultiLvlLbl val="0"/>
      </c:catAx>
      <c:valAx>
        <c:axId val="1964822831"/>
        <c:scaling>
          <c:orientation val="minMax"/>
        </c:scaling>
        <c:delete val="1"/>
        <c:axPos val="b"/>
        <c:numFmt formatCode="General" sourceLinked="1"/>
        <c:majorTickMark val="none"/>
        <c:minorTickMark val="none"/>
        <c:tickLblPos val="nextTo"/>
        <c:crossAx val="197752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image" Target="../media/image2.svg"/><Relationship Id="rId18" Type="http://schemas.openxmlformats.org/officeDocument/2006/relationships/image" Target="../media/image6.png"/><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image" Target="../media/image1.png"/><Relationship Id="rId17" Type="http://schemas.microsoft.com/office/2007/relationships/hdphoto" Target="../media/hdphoto1.wdp"/><Relationship Id="rId2" Type="http://schemas.openxmlformats.org/officeDocument/2006/relationships/chart" Target="../charts/chart15.xml"/><Relationship Id="rId16" Type="http://schemas.openxmlformats.org/officeDocument/2006/relationships/image" Target="../media/image5.png"/><Relationship Id="rId20" Type="http://schemas.openxmlformats.org/officeDocument/2006/relationships/image" Target="../media/image7.png"/><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5" Type="http://schemas.openxmlformats.org/officeDocument/2006/relationships/image" Target="../media/image4.svg"/><Relationship Id="rId10" Type="http://schemas.openxmlformats.org/officeDocument/2006/relationships/chart" Target="../charts/chart23.xml"/><Relationship Id="rId19" Type="http://schemas.microsoft.com/office/2007/relationships/hdphoto" Target="../media/hdphoto2.wdp"/><Relationship Id="rId4" Type="http://schemas.openxmlformats.org/officeDocument/2006/relationships/chart" Target="../charts/chart17.xml"/><Relationship Id="rId9" Type="http://schemas.openxmlformats.org/officeDocument/2006/relationships/chart" Target="../charts/chart22.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11</xdr:col>
      <xdr:colOff>27214</xdr:colOff>
      <xdr:row>13</xdr:row>
      <xdr:rowOff>18273</xdr:rowOff>
    </xdr:from>
    <xdr:to>
      <xdr:col>18</xdr:col>
      <xdr:colOff>312964</xdr:colOff>
      <xdr:row>27</xdr:row>
      <xdr:rowOff>40045</xdr:rowOff>
    </xdr:to>
    <xdr:graphicFrame macro="">
      <xdr:nvGraphicFramePr>
        <xdr:cNvPr id="5" name="Chart 4">
          <a:extLst>
            <a:ext uri="{FF2B5EF4-FFF2-40B4-BE49-F238E27FC236}">
              <a16:creationId xmlns:a16="http://schemas.microsoft.com/office/drawing/2014/main" id="{CD265D7B-D93D-7CDE-98C4-064EB3FD7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279919</xdr:colOff>
      <xdr:row>14</xdr:row>
      <xdr:rowOff>47429</xdr:rowOff>
    </xdr:from>
    <xdr:to>
      <xdr:col>11</xdr:col>
      <xdr:colOff>303245</xdr:colOff>
      <xdr:row>28</xdr:row>
      <xdr:rowOff>69201</xdr:rowOff>
    </xdr:to>
    <xdr:graphicFrame macro="">
      <xdr:nvGraphicFramePr>
        <xdr:cNvPr id="6" name="Chart 5">
          <a:extLst>
            <a:ext uri="{FF2B5EF4-FFF2-40B4-BE49-F238E27FC236}">
              <a16:creationId xmlns:a16="http://schemas.microsoft.com/office/drawing/2014/main" id="{10FD2210-D8E2-14E5-47D3-9B52CD1D2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404486</xdr:colOff>
      <xdr:row>20</xdr:row>
      <xdr:rowOff>182671</xdr:rowOff>
    </xdr:from>
    <xdr:to>
      <xdr:col>9</xdr:col>
      <xdr:colOff>404487</xdr:colOff>
      <xdr:row>22</xdr:row>
      <xdr:rowOff>182672</xdr:rowOff>
    </xdr:to>
    <xdr:sp macro="" textlink="$D$11">
      <xdr:nvSpPr>
        <xdr:cNvPr id="7" name="TextBox 6">
          <a:extLst>
            <a:ext uri="{FF2B5EF4-FFF2-40B4-BE49-F238E27FC236}">
              <a16:creationId xmlns:a16="http://schemas.microsoft.com/office/drawing/2014/main" id="{4E731910-859E-07B8-99CE-1BE88B2AEDA0}"/>
            </a:ext>
          </a:extLst>
        </xdr:cNvPr>
        <xdr:cNvSpPr txBox="1"/>
      </xdr:nvSpPr>
      <xdr:spPr>
        <a:xfrm>
          <a:off x="6158630" y="4097055"/>
          <a:ext cx="613254" cy="3914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C9C03C-F581-4799-B7D7-FDC4303C9328}" type="TxLink">
            <a:rPr lang="en-US" sz="1100" b="0" i="0" u="none" strike="noStrike">
              <a:solidFill>
                <a:srgbClr val="000000"/>
              </a:solidFill>
              <a:latin typeface="Aptos Narrow"/>
            </a:rPr>
            <a:pPr/>
            <a:t>44.4%</a:t>
          </a:fld>
          <a:endParaRPr lang="en-N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142287</xdr:colOff>
      <xdr:row>0</xdr:row>
      <xdr:rowOff>115946</xdr:rowOff>
    </xdr:from>
    <xdr:to>
      <xdr:col>26</xdr:col>
      <xdr:colOff>257527</xdr:colOff>
      <xdr:row>15</xdr:row>
      <xdr:rowOff>36924</xdr:rowOff>
    </xdr:to>
    <xdr:graphicFrame macro="">
      <xdr:nvGraphicFramePr>
        <xdr:cNvPr id="6" name="Chart 5">
          <a:extLst>
            <a:ext uri="{FF2B5EF4-FFF2-40B4-BE49-F238E27FC236}">
              <a16:creationId xmlns:a16="http://schemas.microsoft.com/office/drawing/2014/main" id="{6DA15D06-3D2C-99C4-CC23-CFB8050D0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236360</xdr:colOff>
      <xdr:row>16</xdr:row>
      <xdr:rowOff>151224</xdr:rowOff>
    </xdr:from>
    <xdr:to>
      <xdr:col>20</xdr:col>
      <xdr:colOff>163453</xdr:colOff>
      <xdr:row>31</xdr:row>
      <xdr:rowOff>72201</xdr:rowOff>
    </xdr:to>
    <xdr:graphicFrame macro="">
      <xdr:nvGraphicFramePr>
        <xdr:cNvPr id="8" name="Chart 7">
          <a:extLst>
            <a:ext uri="{FF2B5EF4-FFF2-40B4-BE49-F238E27FC236}">
              <a16:creationId xmlns:a16="http://schemas.microsoft.com/office/drawing/2014/main" id="{85B15DCD-0089-2981-E3FB-C5CF9E46F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232481</xdr:colOff>
      <xdr:row>10</xdr:row>
      <xdr:rowOff>13994</xdr:rowOff>
    </xdr:from>
    <xdr:to>
      <xdr:col>14</xdr:col>
      <xdr:colOff>121003</xdr:colOff>
      <xdr:row>24</xdr:row>
      <xdr:rowOff>46919</xdr:rowOff>
    </xdr:to>
    <mc:AlternateContent xmlns:mc="http://schemas.openxmlformats.org/markup-compatibility/2006" xmlns:a14="http://schemas.microsoft.com/office/drawing/2010/main">
      <mc:Choice Requires="a14">
        <xdr:graphicFrame macro="">
          <xdr:nvGraphicFramePr>
            <xdr:cNvPr id="2" name="Sales Person ">
              <a:extLst>
                <a:ext uri="{FF2B5EF4-FFF2-40B4-BE49-F238E27FC236}">
                  <a16:creationId xmlns:a16="http://schemas.microsoft.com/office/drawing/2014/main" id="{7112991E-D90F-8A07-02E8-758091A95C90}"/>
                </a:ext>
              </a:extLst>
            </xdr:cNvPr>
            <xdr:cNvGraphicFramePr/>
          </xdr:nvGraphicFramePr>
          <xdr:xfrm>
            <a:off x="0" y="0"/>
            <a:ext cx="0" cy="0"/>
          </xdr:xfrm>
          <a:graphic>
            <a:graphicData uri="http://schemas.microsoft.com/office/drawing/2010/slicer">
              <sle:slicer xmlns:sle="http://schemas.microsoft.com/office/drawing/2010/slicer" name="Sales Person "/>
            </a:graphicData>
          </a:graphic>
        </xdr:graphicFrame>
      </mc:Choice>
      <mc:Fallback xmlns="">
        <xdr:sp macro="" textlink="">
          <xdr:nvSpPr>
            <xdr:cNvPr id="0" name=""/>
            <xdr:cNvSpPr>
              <a:spLocks noTextEdit="1"/>
            </xdr:cNvSpPr>
          </xdr:nvSpPr>
          <xdr:spPr>
            <a:xfrm>
              <a:off x="4736277" y="189547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460375</xdr:colOff>
      <xdr:row>25</xdr:row>
      <xdr:rowOff>44676</xdr:rowOff>
    </xdr:from>
    <xdr:to>
      <xdr:col>8</xdr:col>
      <xdr:colOff>360589</xdr:colOff>
      <xdr:row>39</xdr:row>
      <xdr:rowOff>89126</xdr:rowOff>
    </xdr:to>
    <xdr:graphicFrame macro="">
      <xdr:nvGraphicFramePr>
        <xdr:cNvPr id="4" name="Chart 3">
          <a:extLst>
            <a:ext uri="{FF2B5EF4-FFF2-40B4-BE49-F238E27FC236}">
              <a16:creationId xmlns:a16="http://schemas.microsoft.com/office/drawing/2014/main" id="{E26D6782-ABCA-178E-AEF2-7633BD1EB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630347</xdr:colOff>
      <xdr:row>13</xdr:row>
      <xdr:rowOff>61802</xdr:rowOff>
    </xdr:from>
    <xdr:to>
      <xdr:col>8</xdr:col>
      <xdr:colOff>535097</xdr:colOff>
      <xdr:row>27</xdr:row>
      <xdr:rowOff>133622</xdr:rowOff>
    </xdr:to>
    <xdr:graphicFrame macro="">
      <xdr:nvGraphicFramePr>
        <xdr:cNvPr id="5" name="Chart 4">
          <a:extLst>
            <a:ext uri="{FF2B5EF4-FFF2-40B4-BE49-F238E27FC236}">
              <a16:creationId xmlns:a16="http://schemas.microsoft.com/office/drawing/2014/main" id="{ABE5CCBE-44E3-A783-97F8-3777E4B50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35582</xdr:colOff>
      <xdr:row>10</xdr:row>
      <xdr:rowOff>34158</xdr:rowOff>
    </xdr:from>
    <xdr:to>
      <xdr:col>14</xdr:col>
      <xdr:colOff>25072</xdr:colOff>
      <xdr:row>24</xdr:row>
      <xdr:rowOff>95468</xdr:rowOff>
    </xdr:to>
    <mc:AlternateContent xmlns:mc="http://schemas.openxmlformats.org/markup-compatibility/2006" xmlns:a14="http://schemas.microsoft.com/office/drawing/2010/main">
      <mc:Choice Requires="a14">
        <xdr:graphicFrame macro="">
          <xdr:nvGraphicFramePr>
            <xdr:cNvPr id="2" name="Client Gender ">
              <a:extLst>
                <a:ext uri="{FF2B5EF4-FFF2-40B4-BE49-F238E27FC236}">
                  <a16:creationId xmlns:a16="http://schemas.microsoft.com/office/drawing/2014/main" id="{8B43F0BF-C369-0E40-13ED-23DD26DA7E09}"/>
                </a:ext>
              </a:extLst>
            </xdr:cNvPr>
            <xdr:cNvGraphicFramePr/>
          </xdr:nvGraphicFramePr>
          <xdr:xfrm>
            <a:off x="0" y="0"/>
            <a:ext cx="0" cy="0"/>
          </xdr:xfrm>
          <a:graphic>
            <a:graphicData uri="http://schemas.microsoft.com/office/drawing/2010/slicer">
              <sle:slicer xmlns:sle="http://schemas.microsoft.com/office/drawing/2010/slicer" name="Client Gender "/>
            </a:graphicData>
          </a:graphic>
        </xdr:graphicFrame>
      </mc:Choice>
      <mc:Fallback xmlns="">
        <xdr:sp macro="" textlink="">
          <xdr:nvSpPr>
            <xdr:cNvPr id="0" name=""/>
            <xdr:cNvSpPr>
              <a:spLocks noTextEdit="1"/>
            </xdr:cNvSpPr>
          </xdr:nvSpPr>
          <xdr:spPr>
            <a:xfrm>
              <a:off x="7797910" y="189536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829235</xdr:colOff>
      <xdr:row>16</xdr:row>
      <xdr:rowOff>124385</xdr:rowOff>
    </xdr:from>
    <xdr:to>
      <xdr:col>8</xdr:col>
      <xdr:colOff>44824</xdr:colOff>
      <xdr:row>31</xdr:row>
      <xdr:rowOff>10085</xdr:rowOff>
    </xdr:to>
    <xdr:graphicFrame macro="">
      <xdr:nvGraphicFramePr>
        <xdr:cNvPr id="4" name="Chart 3">
          <a:extLst>
            <a:ext uri="{FF2B5EF4-FFF2-40B4-BE49-F238E27FC236}">
              <a16:creationId xmlns:a16="http://schemas.microsoft.com/office/drawing/2014/main" id="{D52549A3-E5E2-06FD-AA55-C5D25E69B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540939</xdr:colOff>
      <xdr:row>16</xdr:row>
      <xdr:rowOff>117253</xdr:rowOff>
    </xdr:from>
    <xdr:to>
      <xdr:col>15</xdr:col>
      <xdr:colOff>268942</xdr:colOff>
      <xdr:row>31</xdr:row>
      <xdr:rowOff>2953</xdr:rowOff>
    </xdr:to>
    <xdr:graphicFrame macro="">
      <xdr:nvGraphicFramePr>
        <xdr:cNvPr id="5" name="Chart 4">
          <a:extLst>
            <a:ext uri="{FF2B5EF4-FFF2-40B4-BE49-F238E27FC236}">
              <a16:creationId xmlns:a16="http://schemas.microsoft.com/office/drawing/2014/main" id="{E88A6A9E-ED51-E74F-BC77-2B9A091B4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168891</xdr:colOff>
      <xdr:row>13</xdr:row>
      <xdr:rowOff>150125</xdr:rowOff>
    </xdr:from>
    <xdr:to>
      <xdr:col>8</xdr:col>
      <xdr:colOff>320154</xdr:colOff>
      <xdr:row>28</xdr:row>
      <xdr:rowOff>44924</xdr:rowOff>
    </xdr:to>
    <mc:AlternateContent xmlns:mc="http://schemas.openxmlformats.org/markup-compatibility/2006" xmlns:a14="http://schemas.microsoft.com/office/drawing/2010/main">
      <mc:Choice Requires="a14">
        <xdr:graphicFrame macro="">
          <xdr:nvGraphicFramePr>
            <xdr:cNvPr id="2" name="Inspection">
              <a:extLst>
                <a:ext uri="{FF2B5EF4-FFF2-40B4-BE49-F238E27FC236}">
                  <a16:creationId xmlns:a16="http://schemas.microsoft.com/office/drawing/2014/main" id="{1E9D8BC8-89AC-8219-25A2-5B1695ABC772}"/>
                </a:ext>
              </a:extLst>
            </xdr:cNvPr>
            <xdr:cNvGraphicFramePr/>
          </xdr:nvGraphicFramePr>
          <xdr:xfrm>
            <a:off x="0" y="0"/>
            <a:ext cx="0" cy="0"/>
          </xdr:xfrm>
          <a:graphic>
            <a:graphicData uri="http://schemas.microsoft.com/office/drawing/2010/slicer">
              <sle:slicer xmlns:sle="http://schemas.microsoft.com/office/drawing/2010/slicer" name="Inspection"/>
            </a:graphicData>
          </a:graphic>
        </xdr:graphicFrame>
      </mc:Choice>
      <mc:Fallback xmlns="">
        <xdr:sp macro="" textlink="">
          <xdr:nvSpPr>
            <xdr:cNvPr id="0" name=""/>
            <xdr:cNvSpPr>
              <a:spLocks noTextEdit="1"/>
            </xdr:cNvSpPr>
          </xdr:nvSpPr>
          <xdr:spPr>
            <a:xfrm>
              <a:off x="6324600" y="255270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714375</xdr:colOff>
      <xdr:row>10</xdr:row>
      <xdr:rowOff>152400</xdr:rowOff>
    </xdr:from>
    <xdr:to>
      <xdr:col>12</xdr:col>
      <xdr:colOff>595312</xdr:colOff>
      <xdr:row>23</xdr:row>
      <xdr:rowOff>119062</xdr:rowOff>
    </xdr:to>
    <xdr:graphicFrame macro="">
      <xdr:nvGraphicFramePr>
        <xdr:cNvPr id="2" name="Chart 1">
          <a:extLst>
            <a:ext uri="{FF2B5EF4-FFF2-40B4-BE49-F238E27FC236}">
              <a16:creationId xmlns:a16="http://schemas.microsoft.com/office/drawing/2014/main" id="{7491942F-9FBB-D47A-B50F-AE3235528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295275</xdr:colOff>
      <xdr:row>8</xdr:row>
      <xdr:rowOff>0</xdr:rowOff>
    </xdr:from>
    <xdr:to>
      <xdr:col>7</xdr:col>
      <xdr:colOff>114300</xdr:colOff>
      <xdr:row>22</xdr:row>
      <xdr:rowOff>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3CEB0E7C-7C10-F42C-4221-B57B441D40B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819525" y="152400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381000</xdr:colOff>
      <xdr:row>4</xdr:row>
      <xdr:rowOff>90487</xdr:rowOff>
    </xdr:from>
    <xdr:to>
      <xdr:col>12</xdr:col>
      <xdr:colOff>76200</xdr:colOff>
      <xdr:row>18</xdr:row>
      <xdr:rowOff>166687</xdr:rowOff>
    </xdr:to>
    <xdr:graphicFrame macro="">
      <xdr:nvGraphicFramePr>
        <xdr:cNvPr id="2" name="Chart 1">
          <a:extLst>
            <a:ext uri="{FF2B5EF4-FFF2-40B4-BE49-F238E27FC236}">
              <a16:creationId xmlns:a16="http://schemas.microsoft.com/office/drawing/2014/main" id="{D721B1D7-AF08-C5A6-8903-EA4E617C0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228600</xdr:colOff>
      <xdr:row>9</xdr:row>
      <xdr:rowOff>171449</xdr:rowOff>
    </xdr:from>
    <xdr:to>
      <xdr:col>10</xdr:col>
      <xdr:colOff>419100</xdr:colOff>
      <xdr:row>21</xdr:row>
      <xdr:rowOff>90486</xdr:rowOff>
    </xdr:to>
    <xdr:graphicFrame macro="">
      <xdr:nvGraphicFramePr>
        <xdr:cNvPr id="2" name="Chart 1">
          <a:extLst>
            <a:ext uri="{FF2B5EF4-FFF2-40B4-BE49-F238E27FC236}">
              <a16:creationId xmlns:a16="http://schemas.microsoft.com/office/drawing/2014/main" id="{B85234E1-91D3-0DA7-5C6E-1D33A47B4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371475</xdr:colOff>
      <xdr:row>9</xdr:row>
      <xdr:rowOff>180974</xdr:rowOff>
    </xdr:from>
    <xdr:to>
      <xdr:col>16</xdr:col>
      <xdr:colOff>581025</xdr:colOff>
      <xdr:row>21</xdr:row>
      <xdr:rowOff>80961</xdr:rowOff>
    </xdr:to>
    <xdr:graphicFrame macro="">
      <xdr:nvGraphicFramePr>
        <xdr:cNvPr id="3" name="Chart 2">
          <a:extLst>
            <a:ext uri="{FF2B5EF4-FFF2-40B4-BE49-F238E27FC236}">
              <a16:creationId xmlns:a16="http://schemas.microsoft.com/office/drawing/2014/main" id="{F0ECD31C-C1C3-3E01-3BE3-20CA86CD3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590550</xdr:colOff>
      <xdr:row>0</xdr:row>
      <xdr:rowOff>0</xdr:rowOff>
    </xdr:from>
    <xdr:to>
      <xdr:col>17</xdr:col>
      <xdr:colOff>285750</xdr:colOff>
      <xdr:row>11</xdr:row>
      <xdr:rowOff>9525</xdr:rowOff>
    </xdr:to>
    <xdr:graphicFrame macro="">
      <xdr:nvGraphicFramePr>
        <xdr:cNvPr id="4" name="Chart 3">
          <a:extLst>
            <a:ext uri="{FF2B5EF4-FFF2-40B4-BE49-F238E27FC236}">
              <a16:creationId xmlns:a16="http://schemas.microsoft.com/office/drawing/2014/main" id="{7C69A182-0CDE-CCCA-12AC-B3DCB1B99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66674</xdr:rowOff>
    </xdr:from>
    <xdr:to>
      <xdr:col>6</xdr:col>
      <xdr:colOff>190500</xdr:colOff>
      <xdr:row>29</xdr:row>
      <xdr:rowOff>25066</xdr:rowOff>
    </xdr:to>
    <xdr:graphicFrame macro="">
      <xdr:nvGraphicFramePr>
        <xdr:cNvPr id="18" name="Chart 17">
          <a:extLst>
            <a:ext uri="{FF2B5EF4-FFF2-40B4-BE49-F238E27FC236}">
              <a16:creationId xmlns:a16="http://schemas.microsoft.com/office/drawing/2014/main" id="{F3ECD572-2552-454E-AE1D-63940DB97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466724</xdr:colOff>
      <xdr:row>0</xdr:row>
      <xdr:rowOff>19051</xdr:rowOff>
    </xdr:from>
    <xdr:to>
      <xdr:col>20</xdr:col>
      <xdr:colOff>892724</xdr:colOff>
      <xdr:row>4</xdr:row>
      <xdr:rowOff>4489</xdr:rowOff>
    </xdr:to>
    <xdr:sp macro="" textlink="">
      <xdr:nvSpPr>
        <xdr:cNvPr id="2" name="Rectangle: Rounded Corners 1">
          <a:extLst>
            <a:ext uri="{FF2B5EF4-FFF2-40B4-BE49-F238E27FC236}">
              <a16:creationId xmlns:a16="http://schemas.microsoft.com/office/drawing/2014/main" id="{BB8B36B5-40A6-022A-8F46-C7C884CFE506}"/>
            </a:ext>
          </a:extLst>
        </xdr:cNvPr>
        <xdr:cNvSpPr/>
      </xdr:nvSpPr>
      <xdr:spPr>
        <a:xfrm>
          <a:off x="4126893" y="19051"/>
          <a:ext cx="8966393" cy="756000"/>
        </a:xfrm>
        <a:prstGeom prst="roundRect">
          <a:avLst>
            <a:gd name="adj" fmla="val 7712"/>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466725</xdr:colOff>
      <xdr:row>8</xdr:row>
      <xdr:rowOff>75247</xdr:rowOff>
    </xdr:from>
    <xdr:to>
      <xdr:col>20</xdr:col>
      <xdr:colOff>892725</xdr:colOff>
      <xdr:row>21</xdr:row>
      <xdr:rowOff>47624</xdr:rowOff>
    </xdr:to>
    <xdr:sp macro="" textlink="">
      <xdr:nvSpPr>
        <xdr:cNvPr id="3" name="Rectangle: Rounded Corners 2">
          <a:extLst>
            <a:ext uri="{FF2B5EF4-FFF2-40B4-BE49-F238E27FC236}">
              <a16:creationId xmlns:a16="http://schemas.microsoft.com/office/drawing/2014/main" id="{487FCC0C-66EC-4136-BA95-A8D97E05C54B}"/>
            </a:ext>
          </a:extLst>
        </xdr:cNvPr>
        <xdr:cNvSpPr/>
      </xdr:nvSpPr>
      <xdr:spPr>
        <a:xfrm>
          <a:off x="4096522" y="1619842"/>
          <a:ext cx="8895527" cy="2482343"/>
        </a:xfrm>
        <a:prstGeom prst="roundRect">
          <a:avLst>
            <a:gd name="adj" fmla="val 7712"/>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469350</xdr:colOff>
      <xdr:row>21</xdr:row>
      <xdr:rowOff>114300</xdr:rowOff>
    </xdr:from>
    <xdr:to>
      <xdr:col>21</xdr:col>
      <xdr:colOff>0</xdr:colOff>
      <xdr:row>33</xdr:row>
      <xdr:rowOff>133350</xdr:rowOff>
    </xdr:to>
    <xdr:sp macro="" textlink="">
      <xdr:nvSpPr>
        <xdr:cNvPr id="5" name="Rectangle: Rounded Corners 4">
          <a:extLst>
            <a:ext uri="{FF2B5EF4-FFF2-40B4-BE49-F238E27FC236}">
              <a16:creationId xmlns:a16="http://schemas.microsoft.com/office/drawing/2014/main" id="{9F8539B3-DCA4-481F-A19C-DCD275604085}"/>
            </a:ext>
          </a:extLst>
        </xdr:cNvPr>
        <xdr:cNvSpPr/>
      </xdr:nvSpPr>
      <xdr:spPr>
        <a:xfrm>
          <a:off x="4143279" y="4196443"/>
          <a:ext cx="8997333" cy="2351703"/>
        </a:xfrm>
        <a:prstGeom prst="roundRect">
          <a:avLst>
            <a:gd name="adj" fmla="val 7712"/>
          </a:avLst>
        </a:prstGeom>
        <a:solidFill>
          <a:srgbClr val="5EF4B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107021</xdr:colOff>
      <xdr:row>0</xdr:row>
      <xdr:rowOff>161925</xdr:rowOff>
    </xdr:from>
    <xdr:to>
      <xdr:col>5</xdr:col>
      <xdr:colOff>154646</xdr:colOff>
      <xdr:row>14</xdr:row>
      <xdr:rowOff>57150</xdr:rowOff>
    </xdr:to>
    <xdr:graphicFrame macro="">
      <xdr:nvGraphicFramePr>
        <xdr:cNvPr id="8" name="Chart 7">
          <a:extLst>
            <a:ext uri="{FF2B5EF4-FFF2-40B4-BE49-F238E27FC236}">
              <a16:creationId xmlns:a16="http://schemas.microsoft.com/office/drawing/2014/main" id="{0E935671-D441-4533-ACDA-C41174695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460197</xdr:colOff>
      <xdr:row>4</xdr:row>
      <xdr:rowOff>164498</xdr:rowOff>
    </xdr:from>
    <xdr:to>
      <xdr:col>11</xdr:col>
      <xdr:colOff>246263</xdr:colOff>
      <xdr:row>8</xdr:row>
      <xdr:rowOff>2572</xdr:rowOff>
    </xdr:to>
    <xdr:sp macro="" textlink="">
      <xdr:nvSpPr>
        <xdr:cNvPr id="4" name="Rectangle: Rounded Corners 3">
          <a:extLst>
            <a:ext uri="{FF2B5EF4-FFF2-40B4-BE49-F238E27FC236}">
              <a16:creationId xmlns:a16="http://schemas.microsoft.com/office/drawing/2014/main" id="{02956390-D1D0-CA52-62A2-CA7A21247E5B}"/>
            </a:ext>
          </a:extLst>
        </xdr:cNvPr>
        <xdr:cNvSpPr/>
      </xdr:nvSpPr>
      <xdr:spPr>
        <a:xfrm>
          <a:off x="4120366" y="935060"/>
          <a:ext cx="2836206" cy="608636"/>
        </a:xfrm>
        <a:prstGeom prst="roundRect">
          <a:avLst>
            <a:gd name="adj" fmla="val 7712"/>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497547</xdr:colOff>
      <xdr:row>7</xdr:row>
      <xdr:rowOff>47625</xdr:rowOff>
    </xdr:from>
    <xdr:to>
      <xdr:col>3</xdr:col>
      <xdr:colOff>459447</xdr:colOff>
      <xdr:row>8</xdr:row>
      <xdr:rowOff>152400</xdr:rowOff>
    </xdr:to>
    <xdr:sp macro="" textlink="'conversion rate'!$D$11">
      <xdr:nvSpPr>
        <xdr:cNvPr id="10" name="TextBox 9">
          <a:extLst>
            <a:ext uri="{FF2B5EF4-FFF2-40B4-BE49-F238E27FC236}">
              <a16:creationId xmlns:a16="http://schemas.microsoft.com/office/drawing/2014/main" id="{177DA306-556D-EAF4-6FDC-43B7B5C84880}"/>
            </a:ext>
          </a:extLst>
        </xdr:cNvPr>
        <xdr:cNvSpPr txBox="1"/>
      </xdr:nvSpPr>
      <xdr:spPr>
        <a:xfrm>
          <a:off x="1717603" y="1396108"/>
          <a:ext cx="571928" cy="297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1DF7F9-FBBE-4963-A704-2EE33A97C408}" type="TxLink">
            <a:rPr lang="en-US" sz="1100" b="1" i="0" u="none" strike="noStrike">
              <a:solidFill>
                <a:schemeClr val="bg1"/>
              </a:solidFill>
              <a:latin typeface="Aptos Narrow"/>
            </a:rPr>
            <a:pPr/>
            <a:t>44.4%</a:t>
          </a:fld>
          <a:endParaRPr lang="en-NG" sz="1100" b="1">
            <a:solidFill>
              <a:schemeClr val="bg1"/>
            </a:solidFill>
          </a:endParaRPr>
        </a:p>
      </xdr:txBody>
    </xdr:sp>
    <xdr:clientData/>
  </xdr:twoCellAnchor>
  <xdr:twoCellAnchor>
    <xdr:from>
      <xdr:col>1</xdr:col>
      <xdr:colOff>124162</xdr:colOff>
      <xdr:row>5</xdr:row>
      <xdr:rowOff>104775</xdr:rowOff>
    </xdr:from>
    <xdr:to>
      <xdr:col>1</xdr:col>
      <xdr:colOff>592793</xdr:colOff>
      <xdr:row>6</xdr:row>
      <xdr:rowOff>171450</xdr:rowOff>
    </xdr:to>
    <xdr:sp macro="" textlink="">
      <xdr:nvSpPr>
        <xdr:cNvPr id="11" name="TextBox 10">
          <a:extLst>
            <a:ext uri="{FF2B5EF4-FFF2-40B4-BE49-F238E27FC236}">
              <a16:creationId xmlns:a16="http://schemas.microsoft.com/office/drawing/2014/main" id="{DDF2B269-546C-B753-5A26-7882AF5E03C0}"/>
            </a:ext>
          </a:extLst>
        </xdr:cNvPr>
        <xdr:cNvSpPr txBox="1"/>
      </xdr:nvSpPr>
      <xdr:spPr>
        <a:xfrm flipH="1">
          <a:off x="734190" y="1067977"/>
          <a:ext cx="468631" cy="259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0%</a:t>
          </a:r>
          <a:endParaRPr lang="en-NG" sz="1100" b="1">
            <a:solidFill>
              <a:schemeClr val="bg1"/>
            </a:solidFill>
          </a:endParaRPr>
        </a:p>
      </xdr:txBody>
    </xdr:sp>
    <xdr:clientData/>
  </xdr:twoCellAnchor>
  <xdr:twoCellAnchor>
    <xdr:from>
      <xdr:col>1</xdr:col>
      <xdr:colOff>316571</xdr:colOff>
      <xdr:row>1</xdr:row>
      <xdr:rowOff>180975</xdr:rowOff>
    </xdr:from>
    <xdr:to>
      <xdr:col>2</xdr:col>
      <xdr:colOff>164170</xdr:colOff>
      <xdr:row>3</xdr:row>
      <xdr:rowOff>76200</xdr:rowOff>
    </xdr:to>
    <xdr:sp macro="" textlink="">
      <xdr:nvSpPr>
        <xdr:cNvPr id="12" name="TextBox 11">
          <a:extLst>
            <a:ext uri="{FF2B5EF4-FFF2-40B4-BE49-F238E27FC236}">
              <a16:creationId xmlns:a16="http://schemas.microsoft.com/office/drawing/2014/main" id="{F30A60B4-AC2C-BDFC-17BC-E7ADFC64F1DD}"/>
            </a:ext>
          </a:extLst>
        </xdr:cNvPr>
        <xdr:cNvSpPr txBox="1"/>
      </xdr:nvSpPr>
      <xdr:spPr>
        <a:xfrm>
          <a:off x="926599" y="373615"/>
          <a:ext cx="457627" cy="280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25%</a:t>
          </a:r>
          <a:endParaRPr lang="en-NG" sz="1100" b="1">
            <a:solidFill>
              <a:schemeClr val="bg1"/>
            </a:solidFill>
          </a:endParaRPr>
        </a:p>
      </xdr:txBody>
    </xdr:sp>
    <xdr:clientData/>
  </xdr:twoCellAnchor>
  <xdr:twoCellAnchor>
    <xdr:from>
      <xdr:col>2</xdr:col>
      <xdr:colOff>564221</xdr:colOff>
      <xdr:row>0</xdr:row>
      <xdr:rowOff>66675</xdr:rowOff>
    </xdr:from>
    <xdr:to>
      <xdr:col>3</xdr:col>
      <xdr:colOff>421346</xdr:colOff>
      <xdr:row>1</xdr:row>
      <xdr:rowOff>152400</xdr:rowOff>
    </xdr:to>
    <xdr:sp macro="" textlink="">
      <xdr:nvSpPr>
        <xdr:cNvPr id="13" name="TextBox 12">
          <a:extLst>
            <a:ext uri="{FF2B5EF4-FFF2-40B4-BE49-F238E27FC236}">
              <a16:creationId xmlns:a16="http://schemas.microsoft.com/office/drawing/2014/main" id="{7C83412B-A4B0-7132-E007-B0A6F24C0F01}"/>
            </a:ext>
          </a:extLst>
        </xdr:cNvPr>
        <xdr:cNvSpPr txBox="1"/>
      </xdr:nvSpPr>
      <xdr:spPr>
        <a:xfrm>
          <a:off x="1784277" y="66675"/>
          <a:ext cx="467153" cy="278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50%</a:t>
          </a:r>
          <a:endParaRPr lang="en-NG" sz="1100" b="1">
            <a:solidFill>
              <a:schemeClr val="bg1"/>
            </a:solidFill>
          </a:endParaRPr>
        </a:p>
      </xdr:txBody>
    </xdr:sp>
    <xdr:clientData/>
  </xdr:twoCellAnchor>
  <xdr:twoCellAnchor>
    <xdr:from>
      <xdr:col>4</xdr:col>
      <xdr:colOff>154646</xdr:colOff>
      <xdr:row>2</xdr:row>
      <xdr:rowOff>38100</xdr:rowOff>
    </xdr:from>
    <xdr:to>
      <xdr:col>4</xdr:col>
      <xdr:colOff>592796</xdr:colOff>
      <xdr:row>3</xdr:row>
      <xdr:rowOff>76200</xdr:rowOff>
    </xdr:to>
    <xdr:sp macro="" textlink="">
      <xdr:nvSpPr>
        <xdr:cNvPr id="14" name="TextBox 13">
          <a:extLst>
            <a:ext uri="{FF2B5EF4-FFF2-40B4-BE49-F238E27FC236}">
              <a16:creationId xmlns:a16="http://schemas.microsoft.com/office/drawing/2014/main" id="{78976F05-4AED-8523-897A-8E7E54F9478C}"/>
            </a:ext>
          </a:extLst>
        </xdr:cNvPr>
        <xdr:cNvSpPr txBox="1"/>
      </xdr:nvSpPr>
      <xdr:spPr>
        <a:xfrm>
          <a:off x="2594758" y="423381"/>
          <a:ext cx="438150" cy="230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75%</a:t>
          </a:r>
          <a:endParaRPr lang="en-NG" sz="1100" b="1">
            <a:solidFill>
              <a:schemeClr val="bg1"/>
            </a:solidFill>
          </a:endParaRPr>
        </a:p>
      </xdr:txBody>
    </xdr:sp>
    <xdr:clientData/>
  </xdr:twoCellAnchor>
  <xdr:twoCellAnchor>
    <xdr:from>
      <xdr:col>4</xdr:col>
      <xdr:colOff>383247</xdr:colOff>
      <xdr:row>5</xdr:row>
      <xdr:rowOff>104775</xdr:rowOff>
    </xdr:from>
    <xdr:to>
      <xdr:col>5</xdr:col>
      <xdr:colOff>287997</xdr:colOff>
      <xdr:row>6</xdr:row>
      <xdr:rowOff>171450</xdr:rowOff>
    </xdr:to>
    <xdr:sp macro="" textlink="">
      <xdr:nvSpPr>
        <xdr:cNvPr id="15" name="TextBox 14">
          <a:extLst>
            <a:ext uri="{FF2B5EF4-FFF2-40B4-BE49-F238E27FC236}">
              <a16:creationId xmlns:a16="http://schemas.microsoft.com/office/drawing/2014/main" id="{E3821F4A-DF7D-DE5D-2F05-2730365A9F76}"/>
            </a:ext>
          </a:extLst>
        </xdr:cNvPr>
        <xdr:cNvSpPr txBox="1"/>
      </xdr:nvSpPr>
      <xdr:spPr>
        <a:xfrm>
          <a:off x="2823359" y="1067977"/>
          <a:ext cx="514778" cy="259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100%</a:t>
          </a:r>
          <a:endParaRPr lang="en-NG" sz="1100" b="1">
            <a:solidFill>
              <a:schemeClr val="bg1"/>
            </a:solidFill>
          </a:endParaRPr>
        </a:p>
      </xdr:txBody>
    </xdr:sp>
    <xdr:clientData/>
  </xdr:twoCellAnchor>
  <xdr:twoCellAnchor>
    <xdr:from>
      <xdr:col>0</xdr:col>
      <xdr:colOff>0</xdr:colOff>
      <xdr:row>9</xdr:row>
      <xdr:rowOff>57150</xdr:rowOff>
    </xdr:from>
    <xdr:to>
      <xdr:col>6</xdr:col>
      <xdr:colOff>123825</xdr:colOff>
      <xdr:row>19</xdr:row>
      <xdr:rowOff>76199</xdr:rowOff>
    </xdr:to>
    <xdr:graphicFrame macro="">
      <xdr:nvGraphicFramePr>
        <xdr:cNvPr id="17" name="Chart 16">
          <a:extLst>
            <a:ext uri="{FF2B5EF4-FFF2-40B4-BE49-F238E27FC236}">
              <a16:creationId xmlns:a16="http://schemas.microsoft.com/office/drawing/2014/main" id="{AAAF4EB0-37B0-42C1-8AE6-75E38C63A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38099</xdr:colOff>
      <xdr:row>29</xdr:row>
      <xdr:rowOff>125331</xdr:rowOff>
    </xdr:from>
    <xdr:to>
      <xdr:col>5</xdr:col>
      <xdr:colOff>581025</xdr:colOff>
      <xdr:row>33</xdr:row>
      <xdr:rowOff>175461</xdr:rowOff>
    </xdr:to>
    <mc:AlternateContent xmlns:mc="http://schemas.openxmlformats.org/markup-compatibility/2006" xmlns:a14="http://schemas.microsoft.com/office/drawing/2010/main">
      <mc:Choice Requires="a14">
        <xdr:graphicFrame macro="">
          <xdr:nvGraphicFramePr>
            <xdr:cNvPr id="26" name="Sales Person  1">
              <a:extLst>
                <a:ext uri="{FF2B5EF4-FFF2-40B4-BE49-F238E27FC236}">
                  <a16:creationId xmlns:a16="http://schemas.microsoft.com/office/drawing/2014/main" id="{F6ACC638-C1CC-4A62-A3DE-A98A76A1B7E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38099" y="5577140"/>
              <a:ext cx="3613485" cy="80210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170900</xdr:colOff>
      <xdr:row>9</xdr:row>
      <xdr:rowOff>166687</xdr:rowOff>
    </xdr:from>
    <xdr:to>
      <xdr:col>11</xdr:col>
      <xdr:colOff>278900</xdr:colOff>
      <xdr:row>20</xdr:row>
      <xdr:rowOff>123187</xdr:rowOff>
    </xdr:to>
    <xdr:sp macro="" textlink="">
      <xdr:nvSpPr>
        <xdr:cNvPr id="29" name="Rectangle 28">
          <a:extLst>
            <a:ext uri="{FF2B5EF4-FFF2-40B4-BE49-F238E27FC236}">
              <a16:creationId xmlns:a16="http://schemas.microsoft.com/office/drawing/2014/main" id="{9405AFA2-815D-0478-C59E-DE22F0E9BA14}"/>
            </a:ext>
          </a:extLst>
        </xdr:cNvPr>
        <xdr:cNvSpPr/>
      </xdr:nvSpPr>
      <xdr:spPr>
        <a:xfrm>
          <a:off x="6915038" y="1841773"/>
          <a:ext cx="108000" cy="200382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171450</xdr:colOff>
      <xdr:row>8</xdr:row>
      <xdr:rowOff>71437</xdr:rowOff>
    </xdr:from>
    <xdr:to>
      <xdr:col>8</xdr:col>
      <xdr:colOff>285750</xdr:colOff>
      <xdr:row>9</xdr:row>
      <xdr:rowOff>100012</xdr:rowOff>
    </xdr:to>
    <xdr:sp macro="" textlink="">
      <xdr:nvSpPr>
        <xdr:cNvPr id="31" name="TextBox 30">
          <a:extLst>
            <a:ext uri="{FF2B5EF4-FFF2-40B4-BE49-F238E27FC236}">
              <a16:creationId xmlns:a16="http://schemas.microsoft.com/office/drawing/2014/main" id="{1F57C009-4CEF-77BA-4F6D-4ED2E23EA30A}"/>
            </a:ext>
          </a:extLst>
        </xdr:cNvPr>
        <xdr:cNvSpPr txBox="1"/>
      </xdr:nvSpPr>
      <xdr:spPr>
        <a:xfrm>
          <a:off x="4438650" y="1595437"/>
          <a:ext cx="7239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FF00"/>
              </a:solidFill>
              <a:effectLst/>
              <a:latin typeface="+mn-lt"/>
              <a:ea typeface="+mn-ea"/>
              <a:cs typeface="+mn-cs"/>
            </a:rPr>
            <a:t>Gender</a:t>
          </a:r>
          <a:endParaRPr lang="en-NG" b="1">
            <a:solidFill>
              <a:srgbClr val="FFFF00"/>
            </a:solidFill>
            <a:effectLst/>
          </a:endParaRPr>
        </a:p>
      </xdr:txBody>
    </xdr:sp>
    <xdr:clientData/>
  </xdr:twoCellAnchor>
  <xdr:twoCellAnchor>
    <xdr:from>
      <xdr:col>11</xdr:col>
      <xdr:colOff>428625</xdr:colOff>
      <xdr:row>8</xdr:row>
      <xdr:rowOff>80960</xdr:rowOff>
    </xdr:from>
    <xdr:to>
      <xdr:col>12</xdr:col>
      <xdr:colOff>561975</xdr:colOff>
      <xdr:row>9</xdr:row>
      <xdr:rowOff>95249</xdr:rowOff>
    </xdr:to>
    <xdr:sp macro="" textlink="">
      <xdr:nvSpPr>
        <xdr:cNvPr id="33" name="TextBox 32">
          <a:extLst>
            <a:ext uri="{FF2B5EF4-FFF2-40B4-BE49-F238E27FC236}">
              <a16:creationId xmlns:a16="http://schemas.microsoft.com/office/drawing/2014/main" id="{08D687F0-56B3-DB35-BF2B-C5DA985891BB}"/>
            </a:ext>
          </a:extLst>
        </xdr:cNvPr>
        <xdr:cNvSpPr txBox="1"/>
      </xdr:nvSpPr>
      <xdr:spPr>
        <a:xfrm>
          <a:off x="7134225" y="1604960"/>
          <a:ext cx="742950" cy="204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Product</a:t>
          </a:r>
          <a:endParaRPr lang="en-NG" sz="1100" b="1">
            <a:solidFill>
              <a:srgbClr val="FF0000"/>
            </a:solidFill>
          </a:endParaRPr>
        </a:p>
      </xdr:txBody>
    </xdr:sp>
    <xdr:clientData/>
  </xdr:twoCellAnchor>
  <xdr:twoCellAnchor>
    <xdr:from>
      <xdr:col>17</xdr:col>
      <xdr:colOff>266698</xdr:colOff>
      <xdr:row>8</xdr:row>
      <xdr:rowOff>64358</xdr:rowOff>
    </xdr:from>
    <xdr:to>
      <xdr:col>18</xdr:col>
      <xdr:colOff>592094</xdr:colOff>
      <xdr:row>9</xdr:row>
      <xdr:rowOff>108584</xdr:rowOff>
    </xdr:to>
    <xdr:sp macro="" textlink="">
      <xdr:nvSpPr>
        <xdr:cNvPr id="34" name="TextBox 33">
          <a:extLst>
            <a:ext uri="{FF2B5EF4-FFF2-40B4-BE49-F238E27FC236}">
              <a16:creationId xmlns:a16="http://schemas.microsoft.com/office/drawing/2014/main" id="{4F7040F6-BAAE-DF77-C2B9-E563B68F17F9}"/>
            </a:ext>
          </a:extLst>
        </xdr:cNvPr>
        <xdr:cNvSpPr txBox="1"/>
      </xdr:nvSpPr>
      <xdr:spPr>
        <a:xfrm>
          <a:off x="10551124" y="1608953"/>
          <a:ext cx="930362" cy="23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FFFF"/>
              </a:solidFill>
            </a:rPr>
            <a:t>Inspection</a:t>
          </a:r>
          <a:endParaRPr lang="en-NG" sz="1100" b="1">
            <a:solidFill>
              <a:srgbClr val="00FFFF"/>
            </a:solidFill>
          </a:endParaRPr>
        </a:p>
      </xdr:txBody>
    </xdr:sp>
    <xdr:clientData/>
  </xdr:twoCellAnchor>
  <xdr:twoCellAnchor>
    <xdr:from>
      <xdr:col>16</xdr:col>
      <xdr:colOff>341042</xdr:colOff>
      <xdr:row>9</xdr:row>
      <xdr:rowOff>166687</xdr:rowOff>
    </xdr:from>
    <xdr:to>
      <xdr:col>16</xdr:col>
      <xdr:colOff>449042</xdr:colOff>
      <xdr:row>20</xdr:row>
      <xdr:rowOff>123187</xdr:rowOff>
    </xdr:to>
    <xdr:sp macro="" textlink="">
      <xdr:nvSpPr>
        <xdr:cNvPr id="35" name="Rectangle 34">
          <a:extLst>
            <a:ext uri="{FF2B5EF4-FFF2-40B4-BE49-F238E27FC236}">
              <a16:creationId xmlns:a16="http://schemas.microsoft.com/office/drawing/2014/main" id="{2802C400-D2A4-45C6-875C-449D2E6D3E18}"/>
            </a:ext>
          </a:extLst>
        </xdr:cNvPr>
        <xdr:cNvSpPr/>
      </xdr:nvSpPr>
      <xdr:spPr>
        <a:xfrm>
          <a:off x="10150697" y="1841773"/>
          <a:ext cx="108000" cy="200382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20825</xdr:colOff>
      <xdr:row>8</xdr:row>
      <xdr:rowOff>85725</xdr:rowOff>
    </xdr:from>
    <xdr:to>
      <xdr:col>11</xdr:col>
      <xdr:colOff>106108</xdr:colOff>
      <xdr:row>13</xdr:row>
      <xdr:rowOff>95250</xdr:rowOff>
    </xdr:to>
    <xdr:graphicFrame macro="">
      <xdr:nvGraphicFramePr>
        <xdr:cNvPr id="36" name="Chart 35">
          <a:extLst>
            <a:ext uri="{FF2B5EF4-FFF2-40B4-BE49-F238E27FC236}">
              <a16:creationId xmlns:a16="http://schemas.microsoft.com/office/drawing/2014/main" id="{007D4DAD-34B5-4F4D-9C75-2603F1784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68450</xdr:colOff>
      <xdr:row>12</xdr:row>
      <xdr:rowOff>9525</xdr:rowOff>
    </xdr:from>
    <xdr:to>
      <xdr:col>11</xdr:col>
      <xdr:colOff>106106</xdr:colOff>
      <xdr:row>16</xdr:row>
      <xdr:rowOff>114301</xdr:rowOff>
    </xdr:to>
    <xdr:graphicFrame macro="">
      <xdr:nvGraphicFramePr>
        <xdr:cNvPr id="37" name="Chart 36">
          <a:extLst>
            <a:ext uri="{FF2B5EF4-FFF2-40B4-BE49-F238E27FC236}">
              <a16:creationId xmlns:a16="http://schemas.microsoft.com/office/drawing/2014/main" id="{47E2D319-D69C-4289-99C2-734D04C7C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95250</xdr:colOff>
      <xdr:row>16</xdr:row>
      <xdr:rowOff>171450</xdr:rowOff>
    </xdr:from>
    <xdr:to>
      <xdr:col>10</xdr:col>
      <xdr:colOff>457200</xdr:colOff>
      <xdr:row>20</xdr:row>
      <xdr:rowOff>133350</xdr:rowOff>
    </xdr:to>
    <mc:AlternateContent xmlns:mc="http://schemas.openxmlformats.org/markup-compatibility/2006" xmlns:a14="http://schemas.microsoft.com/office/drawing/2010/main">
      <mc:Choice Requires="a14">
        <xdr:graphicFrame macro="">
          <xdr:nvGraphicFramePr>
            <xdr:cNvPr id="16" name="Client Gender  1">
              <a:extLst>
                <a:ext uri="{FF2B5EF4-FFF2-40B4-BE49-F238E27FC236}">
                  <a16:creationId xmlns:a16="http://schemas.microsoft.com/office/drawing/2014/main" id="{82170B93-519F-4F27-9934-BB865C303314}"/>
                </a:ext>
              </a:extLst>
            </xdr:cNvPr>
            <xdr:cNvGraphicFramePr/>
          </xdr:nvGraphicFramePr>
          <xdr:xfrm>
            <a:off x="0" y="0"/>
            <a:ext cx="0" cy="0"/>
          </xdr:xfrm>
          <a:graphic>
            <a:graphicData uri="http://schemas.microsoft.com/office/drawing/2010/slicer">
              <sle:slicer xmlns:sle="http://schemas.microsoft.com/office/drawing/2010/slicer" name="Client Gender  1"/>
            </a:graphicData>
          </a:graphic>
        </xdr:graphicFrame>
      </mc:Choice>
      <mc:Fallback xmlns="">
        <xdr:sp macro="" textlink="">
          <xdr:nvSpPr>
            <xdr:cNvPr id="0" name=""/>
            <xdr:cNvSpPr>
              <a:spLocks noTextEdit="1"/>
            </xdr:cNvSpPr>
          </xdr:nvSpPr>
          <xdr:spPr>
            <a:xfrm>
              <a:off x="4362450" y="3219450"/>
              <a:ext cx="2190750" cy="7239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352425</xdr:colOff>
      <xdr:row>12</xdr:row>
      <xdr:rowOff>85725</xdr:rowOff>
    </xdr:from>
    <xdr:to>
      <xdr:col>8</xdr:col>
      <xdr:colOff>123825</xdr:colOff>
      <xdr:row>13</xdr:row>
      <xdr:rowOff>85725</xdr:rowOff>
    </xdr:to>
    <xdr:sp macro="" textlink="Sheet2!$G$4">
      <xdr:nvSpPr>
        <xdr:cNvPr id="20" name="TextBox 19">
          <a:extLst>
            <a:ext uri="{FF2B5EF4-FFF2-40B4-BE49-F238E27FC236}">
              <a16:creationId xmlns:a16="http://schemas.microsoft.com/office/drawing/2014/main" id="{03F397FF-F239-E19D-1B81-A1BBA36AAE52}"/>
            </a:ext>
          </a:extLst>
        </xdr:cNvPr>
        <xdr:cNvSpPr txBox="1"/>
      </xdr:nvSpPr>
      <xdr:spPr>
        <a:xfrm>
          <a:off x="4619625" y="2371725"/>
          <a:ext cx="381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BFC467-7742-48BA-82C3-076CC6EFDE4D}" type="TxLink">
            <a:rPr lang="en-US" sz="1100" b="0" i="0" u="none" strike="noStrike">
              <a:solidFill>
                <a:schemeClr val="bg1"/>
              </a:solidFill>
              <a:latin typeface="Aptos Narrow"/>
            </a:rPr>
            <a:pPr/>
            <a:t> </a:t>
          </a:fld>
          <a:r>
            <a:rPr lang="en-US" sz="1100" b="1" i="0" u="none" strike="noStrike">
              <a:solidFill>
                <a:schemeClr val="bg1"/>
              </a:solidFill>
              <a:latin typeface="Aptos Narrow"/>
            </a:rPr>
            <a:t>27</a:t>
          </a:r>
          <a:endParaRPr lang="en-NG" sz="1100">
            <a:solidFill>
              <a:schemeClr val="bg1"/>
            </a:solidFill>
          </a:endParaRPr>
        </a:p>
      </xdr:txBody>
    </xdr:sp>
    <xdr:clientData/>
  </xdr:twoCellAnchor>
  <xdr:twoCellAnchor>
    <xdr:from>
      <xdr:col>7</xdr:col>
      <xdr:colOff>114301</xdr:colOff>
      <xdr:row>11</xdr:row>
      <xdr:rowOff>85725</xdr:rowOff>
    </xdr:from>
    <xdr:to>
      <xdr:col>7</xdr:col>
      <xdr:colOff>552451</xdr:colOff>
      <xdr:row>12</xdr:row>
      <xdr:rowOff>123824</xdr:rowOff>
    </xdr:to>
    <xdr:sp macro="" textlink="">
      <xdr:nvSpPr>
        <xdr:cNvPr id="21" name="TextBox 20">
          <a:extLst>
            <a:ext uri="{FF2B5EF4-FFF2-40B4-BE49-F238E27FC236}">
              <a16:creationId xmlns:a16="http://schemas.microsoft.com/office/drawing/2014/main" id="{7B33C444-E72F-3620-020D-F301D2DD48F7}"/>
            </a:ext>
          </a:extLst>
        </xdr:cNvPr>
        <xdr:cNvSpPr txBox="1"/>
      </xdr:nvSpPr>
      <xdr:spPr>
        <a:xfrm>
          <a:off x="4381501" y="2181225"/>
          <a:ext cx="438150"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Paid</a:t>
          </a:r>
          <a:endParaRPr lang="en-NG" sz="1100" b="1">
            <a:solidFill>
              <a:srgbClr val="993300"/>
            </a:solidFill>
          </a:endParaRPr>
        </a:p>
      </xdr:txBody>
    </xdr:sp>
    <xdr:clientData/>
  </xdr:twoCellAnchor>
  <xdr:twoCellAnchor>
    <xdr:from>
      <xdr:col>8</xdr:col>
      <xdr:colOff>76199</xdr:colOff>
      <xdr:row>11</xdr:row>
      <xdr:rowOff>85726</xdr:rowOff>
    </xdr:from>
    <xdr:to>
      <xdr:col>9</xdr:col>
      <xdr:colOff>9524</xdr:colOff>
      <xdr:row>12</xdr:row>
      <xdr:rowOff>123824</xdr:rowOff>
    </xdr:to>
    <xdr:sp macro="" textlink="">
      <xdr:nvSpPr>
        <xdr:cNvPr id="22" name="TextBox 21">
          <a:extLst>
            <a:ext uri="{FF2B5EF4-FFF2-40B4-BE49-F238E27FC236}">
              <a16:creationId xmlns:a16="http://schemas.microsoft.com/office/drawing/2014/main" id="{862A68BC-0DA7-FA6A-B40E-7D0A84B83D8D}"/>
            </a:ext>
          </a:extLst>
        </xdr:cNvPr>
        <xdr:cNvSpPr txBox="1"/>
      </xdr:nvSpPr>
      <xdr:spPr>
        <a:xfrm>
          <a:off x="4952999" y="2181226"/>
          <a:ext cx="542925"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Leads</a:t>
          </a:r>
          <a:endParaRPr lang="en-NG" sz="1100" b="1">
            <a:solidFill>
              <a:srgbClr val="993300"/>
            </a:solidFill>
          </a:endParaRPr>
        </a:p>
      </xdr:txBody>
    </xdr:sp>
    <xdr:clientData/>
  </xdr:twoCellAnchor>
  <xdr:oneCellAnchor>
    <xdr:from>
      <xdr:col>9</xdr:col>
      <xdr:colOff>9524</xdr:colOff>
      <xdr:row>11</xdr:row>
      <xdr:rowOff>85726</xdr:rowOff>
    </xdr:from>
    <xdr:ext cx="1228725" cy="247649"/>
    <xdr:sp macro="" textlink="">
      <xdr:nvSpPr>
        <xdr:cNvPr id="23" name="TextBox 22">
          <a:extLst>
            <a:ext uri="{FF2B5EF4-FFF2-40B4-BE49-F238E27FC236}">
              <a16:creationId xmlns:a16="http://schemas.microsoft.com/office/drawing/2014/main" id="{F2AAF56F-0AFC-6CA5-5AF1-757EC4E65B15}"/>
            </a:ext>
          </a:extLst>
        </xdr:cNvPr>
        <xdr:cNvSpPr txBox="1"/>
      </xdr:nvSpPr>
      <xdr:spPr>
        <a:xfrm>
          <a:off x="5495924" y="2181226"/>
          <a:ext cx="1228725" cy="24764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rgbClr val="993300"/>
              </a:solidFill>
            </a:rPr>
            <a:t>Conversion Rate</a:t>
          </a:r>
          <a:endParaRPr lang="en-NG" sz="1100" b="1">
            <a:solidFill>
              <a:srgbClr val="993300"/>
            </a:solidFill>
          </a:endParaRPr>
        </a:p>
      </xdr:txBody>
    </xdr:sp>
    <xdr:clientData/>
  </xdr:oneCellAnchor>
  <xdr:twoCellAnchor>
    <xdr:from>
      <xdr:col>7</xdr:col>
      <xdr:colOff>114301</xdr:colOff>
      <xdr:row>14</xdr:row>
      <xdr:rowOff>123825</xdr:rowOff>
    </xdr:from>
    <xdr:to>
      <xdr:col>7</xdr:col>
      <xdr:colOff>552451</xdr:colOff>
      <xdr:row>15</xdr:row>
      <xdr:rowOff>161925</xdr:rowOff>
    </xdr:to>
    <xdr:sp macro="" textlink="">
      <xdr:nvSpPr>
        <xdr:cNvPr id="30" name="TextBox 29">
          <a:extLst>
            <a:ext uri="{FF2B5EF4-FFF2-40B4-BE49-F238E27FC236}">
              <a16:creationId xmlns:a16="http://schemas.microsoft.com/office/drawing/2014/main" id="{1DACF2CF-FF61-40AC-9714-75E0F257A2FC}"/>
            </a:ext>
          </a:extLst>
        </xdr:cNvPr>
        <xdr:cNvSpPr txBox="1"/>
      </xdr:nvSpPr>
      <xdr:spPr>
        <a:xfrm>
          <a:off x="4381501" y="2790825"/>
          <a:ext cx="438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Paid</a:t>
          </a:r>
          <a:endParaRPr lang="en-NG" sz="1100" b="1">
            <a:solidFill>
              <a:srgbClr val="993300"/>
            </a:solidFill>
          </a:endParaRPr>
        </a:p>
      </xdr:txBody>
    </xdr:sp>
    <xdr:clientData/>
  </xdr:twoCellAnchor>
  <xdr:twoCellAnchor>
    <xdr:from>
      <xdr:col>8</xdr:col>
      <xdr:colOff>66674</xdr:colOff>
      <xdr:row>14</xdr:row>
      <xdr:rowOff>123825</xdr:rowOff>
    </xdr:from>
    <xdr:to>
      <xdr:col>8</xdr:col>
      <xdr:colOff>609599</xdr:colOff>
      <xdr:row>15</xdr:row>
      <xdr:rowOff>161924</xdr:rowOff>
    </xdr:to>
    <xdr:sp macro="" textlink="">
      <xdr:nvSpPr>
        <xdr:cNvPr id="32" name="TextBox 31">
          <a:extLst>
            <a:ext uri="{FF2B5EF4-FFF2-40B4-BE49-F238E27FC236}">
              <a16:creationId xmlns:a16="http://schemas.microsoft.com/office/drawing/2014/main" id="{F0F833CC-21D4-4FFB-BC01-EBAD5A348E1E}"/>
            </a:ext>
          </a:extLst>
        </xdr:cNvPr>
        <xdr:cNvSpPr txBox="1"/>
      </xdr:nvSpPr>
      <xdr:spPr>
        <a:xfrm>
          <a:off x="4943474" y="2790825"/>
          <a:ext cx="54292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Leads</a:t>
          </a:r>
          <a:endParaRPr lang="en-NG" sz="1100" b="1">
            <a:solidFill>
              <a:srgbClr val="993300"/>
            </a:solidFill>
          </a:endParaRPr>
        </a:p>
      </xdr:txBody>
    </xdr:sp>
    <xdr:clientData/>
  </xdr:twoCellAnchor>
  <xdr:oneCellAnchor>
    <xdr:from>
      <xdr:col>9</xdr:col>
      <xdr:colOff>9524</xdr:colOff>
      <xdr:row>14</xdr:row>
      <xdr:rowOff>123826</xdr:rowOff>
    </xdr:from>
    <xdr:ext cx="1228725" cy="247650"/>
    <xdr:sp macro="" textlink="">
      <xdr:nvSpPr>
        <xdr:cNvPr id="38" name="TextBox 37">
          <a:extLst>
            <a:ext uri="{FF2B5EF4-FFF2-40B4-BE49-F238E27FC236}">
              <a16:creationId xmlns:a16="http://schemas.microsoft.com/office/drawing/2014/main" id="{B64E6155-4D30-4BE5-A449-6458A21CDA92}"/>
            </a:ext>
          </a:extLst>
        </xdr:cNvPr>
        <xdr:cNvSpPr txBox="1"/>
      </xdr:nvSpPr>
      <xdr:spPr>
        <a:xfrm>
          <a:off x="5495924" y="2790826"/>
          <a:ext cx="1228725" cy="2476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rgbClr val="993300"/>
              </a:solidFill>
            </a:rPr>
            <a:t>Conversion Rate</a:t>
          </a:r>
          <a:endParaRPr lang="en-NG" sz="1100" b="1">
            <a:solidFill>
              <a:srgbClr val="993300"/>
            </a:solidFill>
          </a:endParaRPr>
        </a:p>
      </xdr:txBody>
    </xdr:sp>
    <xdr:clientData/>
  </xdr:oneCellAnchor>
  <xdr:twoCellAnchor>
    <xdr:from>
      <xdr:col>7</xdr:col>
      <xdr:colOff>514350</xdr:colOff>
      <xdr:row>11</xdr:row>
      <xdr:rowOff>161924</xdr:rowOff>
    </xdr:from>
    <xdr:to>
      <xdr:col>7</xdr:col>
      <xdr:colOff>586350</xdr:colOff>
      <xdr:row>12</xdr:row>
      <xdr:rowOff>43424</xdr:rowOff>
    </xdr:to>
    <xdr:sp macro="" textlink="">
      <xdr:nvSpPr>
        <xdr:cNvPr id="41" name="Rectangle 40">
          <a:extLst>
            <a:ext uri="{FF2B5EF4-FFF2-40B4-BE49-F238E27FC236}">
              <a16:creationId xmlns:a16="http://schemas.microsoft.com/office/drawing/2014/main" id="{5FDE6143-70AE-9D2D-99E3-9E46E29A9D8B}"/>
            </a:ext>
          </a:extLst>
        </xdr:cNvPr>
        <xdr:cNvSpPr/>
      </xdr:nvSpPr>
      <xdr:spPr>
        <a:xfrm>
          <a:off x="4781550" y="2257424"/>
          <a:ext cx="72000" cy="7200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523875</xdr:colOff>
      <xdr:row>15</xdr:row>
      <xdr:rowOff>19049</xdr:rowOff>
    </xdr:from>
    <xdr:to>
      <xdr:col>7</xdr:col>
      <xdr:colOff>595875</xdr:colOff>
      <xdr:row>15</xdr:row>
      <xdr:rowOff>91049</xdr:rowOff>
    </xdr:to>
    <xdr:sp macro="" textlink="">
      <xdr:nvSpPr>
        <xdr:cNvPr id="43" name="Rectangle 42">
          <a:extLst>
            <a:ext uri="{FF2B5EF4-FFF2-40B4-BE49-F238E27FC236}">
              <a16:creationId xmlns:a16="http://schemas.microsoft.com/office/drawing/2014/main" id="{E0718B90-0E78-4678-A839-599A8A4C5BD4}"/>
            </a:ext>
          </a:extLst>
        </xdr:cNvPr>
        <xdr:cNvSpPr/>
      </xdr:nvSpPr>
      <xdr:spPr>
        <a:xfrm>
          <a:off x="4791075" y="2876549"/>
          <a:ext cx="72000" cy="7200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123825</xdr:colOff>
      <xdr:row>15</xdr:row>
      <xdr:rowOff>104774</xdr:rowOff>
    </xdr:from>
    <xdr:to>
      <xdr:col>8</xdr:col>
      <xdr:colOff>600075</xdr:colOff>
      <xdr:row>16</xdr:row>
      <xdr:rowOff>114299</xdr:rowOff>
    </xdr:to>
    <xdr:sp macro="" textlink="Sheet2!$G$4">
      <xdr:nvSpPr>
        <xdr:cNvPr id="44" name="TextBox 43">
          <a:extLst>
            <a:ext uri="{FF2B5EF4-FFF2-40B4-BE49-F238E27FC236}">
              <a16:creationId xmlns:a16="http://schemas.microsoft.com/office/drawing/2014/main" id="{CD6D0DE7-66A0-4CA5-B7DE-72C00F13EFE4}"/>
            </a:ext>
          </a:extLst>
        </xdr:cNvPr>
        <xdr:cNvSpPr txBox="1"/>
      </xdr:nvSpPr>
      <xdr:spPr>
        <a:xfrm>
          <a:off x="5000625" y="2962274"/>
          <a:ext cx="4762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BFC467-7742-48BA-82C3-076CC6EFDE4D}" type="TxLink">
            <a:rPr lang="en-US" sz="1100" b="0" i="0" u="none" strike="noStrike">
              <a:solidFill>
                <a:schemeClr val="bg1"/>
              </a:solidFill>
              <a:latin typeface="Aptos Narrow"/>
            </a:rPr>
            <a:pPr/>
            <a:t> </a:t>
          </a:fld>
          <a:r>
            <a:rPr lang="en-US" sz="1100" b="1" i="0" u="none" strike="noStrike">
              <a:solidFill>
                <a:schemeClr val="bg1"/>
              </a:solidFill>
              <a:latin typeface="Aptos Narrow"/>
            </a:rPr>
            <a:t>101</a:t>
          </a:r>
          <a:endParaRPr lang="en-NG" sz="1100">
            <a:solidFill>
              <a:schemeClr val="bg1"/>
            </a:solidFill>
          </a:endParaRPr>
        </a:p>
      </xdr:txBody>
    </xdr:sp>
    <xdr:clientData/>
  </xdr:twoCellAnchor>
  <xdr:twoCellAnchor>
    <xdr:from>
      <xdr:col>9</xdr:col>
      <xdr:colOff>276225</xdr:colOff>
      <xdr:row>12</xdr:row>
      <xdr:rowOff>66675</xdr:rowOff>
    </xdr:from>
    <xdr:to>
      <xdr:col>10</xdr:col>
      <xdr:colOff>238125</xdr:colOff>
      <xdr:row>13</xdr:row>
      <xdr:rowOff>85725</xdr:rowOff>
    </xdr:to>
    <xdr:sp macro="" textlink="Sheet2!$G$4">
      <xdr:nvSpPr>
        <xdr:cNvPr id="45" name="TextBox 44">
          <a:extLst>
            <a:ext uri="{FF2B5EF4-FFF2-40B4-BE49-F238E27FC236}">
              <a16:creationId xmlns:a16="http://schemas.microsoft.com/office/drawing/2014/main" id="{91DCE2C8-AD35-4611-B9E1-451C63FA9006}"/>
            </a:ext>
          </a:extLst>
        </xdr:cNvPr>
        <xdr:cNvSpPr txBox="1"/>
      </xdr:nvSpPr>
      <xdr:spPr>
        <a:xfrm>
          <a:off x="5762625" y="2352675"/>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BFC467-7742-48BA-82C3-076CC6EFDE4D}" type="TxLink">
            <a:rPr lang="en-US" sz="1100" b="0" i="0" u="none" strike="noStrike">
              <a:solidFill>
                <a:schemeClr val="bg1"/>
              </a:solidFill>
              <a:latin typeface="Aptos Narrow"/>
            </a:rPr>
            <a:pPr/>
            <a:t> </a:t>
          </a:fld>
          <a:r>
            <a:rPr lang="en-US" sz="1100" b="1" i="0" u="none" strike="noStrike">
              <a:solidFill>
                <a:schemeClr val="bg1"/>
              </a:solidFill>
              <a:latin typeface="Aptos Narrow"/>
            </a:rPr>
            <a:t>21.8%</a:t>
          </a:r>
          <a:endParaRPr lang="en-NG" sz="1100">
            <a:solidFill>
              <a:schemeClr val="bg1"/>
            </a:solidFill>
          </a:endParaRPr>
        </a:p>
      </xdr:txBody>
    </xdr:sp>
    <xdr:clientData/>
  </xdr:twoCellAnchor>
  <xdr:twoCellAnchor>
    <xdr:from>
      <xdr:col>8</xdr:col>
      <xdr:colOff>123824</xdr:colOff>
      <xdr:row>12</xdr:row>
      <xdr:rowOff>76200</xdr:rowOff>
    </xdr:from>
    <xdr:to>
      <xdr:col>8</xdr:col>
      <xdr:colOff>561975</xdr:colOff>
      <xdr:row>13</xdr:row>
      <xdr:rowOff>114299</xdr:rowOff>
    </xdr:to>
    <xdr:sp macro="" textlink="Sheet2!$G$4">
      <xdr:nvSpPr>
        <xdr:cNvPr id="46" name="TextBox 45">
          <a:extLst>
            <a:ext uri="{FF2B5EF4-FFF2-40B4-BE49-F238E27FC236}">
              <a16:creationId xmlns:a16="http://schemas.microsoft.com/office/drawing/2014/main" id="{7B896954-8745-4667-BBE6-2B23143C2271}"/>
            </a:ext>
          </a:extLst>
        </xdr:cNvPr>
        <xdr:cNvSpPr txBox="1"/>
      </xdr:nvSpPr>
      <xdr:spPr>
        <a:xfrm>
          <a:off x="5000624" y="2362200"/>
          <a:ext cx="438151"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BFC467-7742-48BA-82C3-076CC6EFDE4D}" type="TxLink">
            <a:rPr lang="en-US" sz="1100" b="0" i="0" u="none" strike="noStrike">
              <a:solidFill>
                <a:schemeClr val="bg1"/>
              </a:solidFill>
              <a:latin typeface="Aptos Narrow"/>
            </a:rPr>
            <a:pPr/>
            <a:t> </a:t>
          </a:fld>
          <a:r>
            <a:rPr lang="en-US" sz="1100" b="1" i="0" u="none" strike="noStrike">
              <a:solidFill>
                <a:schemeClr val="bg1"/>
              </a:solidFill>
              <a:latin typeface="Aptos Narrow"/>
            </a:rPr>
            <a:t>124</a:t>
          </a:r>
          <a:endParaRPr lang="en-NG" sz="1100">
            <a:solidFill>
              <a:schemeClr val="bg1"/>
            </a:solidFill>
          </a:endParaRPr>
        </a:p>
      </xdr:txBody>
    </xdr:sp>
    <xdr:clientData/>
  </xdr:twoCellAnchor>
  <xdr:twoCellAnchor>
    <xdr:from>
      <xdr:col>9</xdr:col>
      <xdr:colOff>266701</xdr:colOff>
      <xdr:row>15</xdr:row>
      <xdr:rowOff>114300</xdr:rowOff>
    </xdr:from>
    <xdr:to>
      <xdr:col>10</xdr:col>
      <xdr:colOff>238125</xdr:colOff>
      <xdr:row>16</xdr:row>
      <xdr:rowOff>114300</xdr:rowOff>
    </xdr:to>
    <xdr:sp macro="" textlink="Sheet2!$G$4">
      <xdr:nvSpPr>
        <xdr:cNvPr id="47" name="TextBox 46">
          <a:extLst>
            <a:ext uri="{FF2B5EF4-FFF2-40B4-BE49-F238E27FC236}">
              <a16:creationId xmlns:a16="http://schemas.microsoft.com/office/drawing/2014/main" id="{853FE353-3005-47F5-9074-FE01D4A025D7}"/>
            </a:ext>
          </a:extLst>
        </xdr:cNvPr>
        <xdr:cNvSpPr txBox="1"/>
      </xdr:nvSpPr>
      <xdr:spPr>
        <a:xfrm>
          <a:off x="5753101" y="2971800"/>
          <a:ext cx="581024"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BFC467-7742-48BA-82C3-076CC6EFDE4D}" type="TxLink">
            <a:rPr lang="en-US" sz="1100" b="0" i="0" u="none" strike="noStrike">
              <a:solidFill>
                <a:schemeClr val="bg1"/>
              </a:solidFill>
              <a:latin typeface="Aptos Narrow"/>
            </a:rPr>
            <a:pPr/>
            <a:t> </a:t>
          </a:fld>
          <a:r>
            <a:rPr lang="en-US" sz="1100" b="1" i="0" u="none" strike="noStrike">
              <a:solidFill>
                <a:schemeClr val="bg1"/>
              </a:solidFill>
              <a:latin typeface="Aptos Narrow"/>
            </a:rPr>
            <a:t>72.3%</a:t>
          </a:r>
          <a:endParaRPr lang="en-NG" sz="1100">
            <a:solidFill>
              <a:schemeClr val="bg1"/>
            </a:solidFill>
          </a:endParaRPr>
        </a:p>
      </xdr:txBody>
    </xdr:sp>
    <xdr:clientData/>
  </xdr:twoCellAnchor>
  <xdr:twoCellAnchor>
    <xdr:from>
      <xdr:col>7</xdr:col>
      <xdr:colOff>381000</xdr:colOff>
      <xdr:row>15</xdr:row>
      <xdr:rowOff>114300</xdr:rowOff>
    </xdr:from>
    <xdr:to>
      <xdr:col>8</xdr:col>
      <xdr:colOff>152400</xdr:colOff>
      <xdr:row>16</xdr:row>
      <xdr:rowOff>114300</xdr:rowOff>
    </xdr:to>
    <xdr:sp macro="" textlink="Sheet2!$G$4">
      <xdr:nvSpPr>
        <xdr:cNvPr id="48" name="TextBox 47">
          <a:extLst>
            <a:ext uri="{FF2B5EF4-FFF2-40B4-BE49-F238E27FC236}">
              <a16:creationId xmlns:a16="http://schemas.microsoft.com/office/drawing/2014/main" id="{9BA31BF9-3CA9-4E5C-96CE-AC749E8A1B0D}"/>
            </a:ext>
          </a:extLst>
        </xdr:cNvPr>
        <xdr:cNvSpPr txBox="1"/>
      </xdr:nvSpPr>
      <xdr:spPr>
        <a:xfrm>
          <a:off x="4648200" y="2971800"/>
          <a:ext cx="381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1"/>
              </a:solidFill>
              <a:latin typeface="Aptos Narrow"/>
            </a:rPr>
            <a:t>73</a:t>
          </a:r>
          <a:endParaRPr lang="en-NG" sz="1100" b="1">
            <a:solidFill>
              <a:schemeClr val="bg1"/>
            </a:solidFill>
          </a:endParaRPr>
        </a:p>
      </xdr:txBody>
    </xdr:sp>
    <xdr:clientData/>
  </xdr:twoCellAnchor>
  <xdr:twoCellAnchor editAs="oneCell">
    <xdr:from>
      <xdr:col>11</xdr:col>
      <xdr:colOff>378152</xdr:colOff>
      <xdr:row>18</xdr:row>
      <xdr:rowOff>66675</xdr:rowOff>
    </xdr:from>
    <xdr:to>
      <xdr:col>16</xdr:col>
      <xdr:colOff>244803</xdr:colOff>
      <xdr:row>20</xdr:row>
      <xdr:rowOff>114301</xdr:rowOff>
    </xdr:to>
    <mc:AlternateContent xmlns:mc="http://schemas.openxmlformats.org/markup-compatibility/2006" xmlns:a14="http://schemas.microsoft.com/office/drawing/2010/main">
      <mc:Choice Requires="a14">
        <xdr:graphicFrame macro="">
          <xdr:nvGraphicFramePr>
            <xdr:cNvPr id="19" name="Product 1">
              <a:extLst>
                <a:ext uri="{FF2B5EF4-FFF2-40B4-BE49-F238E27FC236}">
                  <a16:creationId xmlns:a16="http://schemas.microsoft.com/office/drawing/2014/main" id="{313529B4-04F4-4873-A289-28489210061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133382" y="3450557"/>
              <a:ext cx="2937210" cy="42361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323850</xdr:colOff>
      <xdr:row>10</xdr:row>
      <xdr:rowOff>142875</xdr:rowOff>
    </xdr:from>
    <xdr:to>
      <xdr:col>16</xdr:col>
      <xdr:colOff>509588</xdr:colOff>
      <xdr:row>16</xdr:row>
      <xdr:rowOff>161925</xdr:rowOff>
    </xdr:to>
    <xdr:graphicFrame macro="">
      <xdr:nvGraphicFramePr>
        <xdr:cNvPr id="24" name="Chart 23">
          <a:extLst>
            <a:ext uri="{FF2B5EF4-FFF2-40B4-BE49-F238E27FC236}">
              <a16:creationId xmlns:a16="http://schemas.microsoft.com/office/drawing/2014/main" id="{2AF0CA73-DA04-4290-8268-BC9E7BB7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342900</xdr:colOff>
      <xdr:row>9</xdr:row>
      <xdr:rowOff>66675</xdr:rowOff>
    </xdr:from>
    <xdr:to>
      <xdr:col>13</xdr:col>
      <xdr:colOff>57150</xdr:colOff>
      <xdr:row>10</xdr:row>
      <xdr:rowOff>95250</xdr:rowOff>
    </xdr:to>
    <xdr:sp macro="" textlink="">
      <xdr:nvSpPr>
        <xdr:cNvPr id="25" name="TextBox 24">
          <a:extLst>
            <a:ext uri="{FF2B5EF4-FFF2-40B4-BE49-F238E27FC236}">
              <a16:creationId xmlns:a16="http://schemas.microsoft.com/office/drawing/2014/main" id="{124A0B39-1C65-E20A-9F60-5B2CA07251DF}"/>
            </a:ext>
          </a:extLst>
        </xdr:cNvPr>
        <xdr:cNvSpPr txBox="1"/>
      </xdr:nvSpPr>
      <xdr:spPr>
        <a:xfrm>
          <a:off x="7048500" y="1781175"/>
          <a:ext cx="9334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rgbClr val="66FF33"/>
              </a:solidFill>
            </a:rPr>
            <a:t>Commercial</a:t>
          </a:r>
          <a:endParaRPr lang="en-NG" sz="1100" b="1" u="sng">
            <a:solidFill>
              <a:srgbClr val="66FF33"/>
            </a:solidFill>
          </a:endParaRPr>
        </a:p>
      </xdr:txBody>
    </xdr:sp>
    <xdr:clientData/>
  </xdr:twoCellAnchor>
  <xdr:twoCellAnchor>
    <xdr:from>
      <xdr:col>11</xdr:col>
      <xdr:colOff>361950</xdr:colOff>
      <xdr:row>12</xdr:row>
      <xdr:rowOff>85725</xdr:rowOff>
    </xdr:from>
    <xdr:to>
      <xdr:col>13</xdr:col>
      <xdr:colOff>76200</xdr:colOff>
      <xdr:row>13</xdr:row>
      <xdr:rowOff>114300</xdr:rowOff>
    </xdr:to>
    <xdr:sp macro="" textlink="">
      <xdr:nvSpPr>
        <xdr:cNvPr id="27" name="TextBox 26">
          <a:extLst>
            <a:ext uri="{FF2B5EF4-FFF2-40B4-BE49-F238E27FC236}">
              <a16:creationId xmlns:a16="http://schemas.microsoft.com/office/drawing/2014/main" id="{0F5DC21D-A344-4D51-B368-8FE792EEE7D0}"/>
            </a:ext>
          </a:extLst>
        </xdr:cNvPr>
        <xdr:cNvSpPr txBox="1"/>
      </xdr:nvSpPr>
      <xdr:spPr>
        <a:xfrm>
          <a:off x="7067550" y="2371725"/>
          <a:ext cx="9334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accent5"/>
              </a:solidFill>
            </a:rPr>
            <a:t>Industrial</a:t>
          </a:r>
          <a:endParaRPr lang="en-NG" sz="1100" b="1" u="sng">
            <a:solidFill>
              <a:schemeClr val="accent5"/>
            </a:solidFill>
          </a:endParaRPr>
        </a:p>
      </xdr:txBody>
    </xdr:sp>
    <xdr:clientData/>
  </xdr:twoCellAnchor>
  <xdr:twoCellAnchor>
    <xdr:from>
      <xdr:col>11</xdr:col>
      <xdr:colOff>361950</xdr:colOff>
      <xdr:row>15</xdr:row>
      <xdr:rowOff>47625</xdr:rowOff>
    </xdr:from>
    <xdr:to>
      <xdr:col>13</xdr:col>
      <xdr:colOff>76200</xdr:colOff>
      <xdr:row>16</xdr:row>
      <xdr:rowOff>76200</xdr:rowOff>
    </xdr:to>
    <xdr:sp macro="" textlink="">
      <xdr:nvSpPr>
        <xdr:cNvPr id="28" name="TextBox 27">
          <a:extLst>
            <a:ext uri="{FF2B5EF4-FFF2-40B4-BE49-F238E27FC236}">
              <a16:creationId xmlns:a16="http://schemas.microsoft.com/office/drawing/2014/main" id="{00802A88-CA2F-4EC5-8141-5717BF165AB2}"/>
            </a:ext>
          </a:extLst>
        </xdr:cNvPr>
        <xdr:cNvSpPr txBox="1"/>
      </xdr:nvSpPr>
      <xdr:spPr>
        <a:xfrm>
          <a:off x="7067550" y="2905125"/>
          <a:ext cx="9334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rgbClr val="47E7CC"/>
              </a:solidFill>
            </a:rPr>
            <a:t>Residencial</a:t>
          </a:r>
          <a:endParaRPr lang="en-NG" sz="1100" b="1" u="sng">
            <a:solidFill>
              <a:srgbClr val="47E7CC"/>
            </a:solidFill>
          </a:endParaRPr>
        </a:p>
      </xdr:txBody>
    </xdr:sp>
    <xdr:clientData/>
  </xdr:twoCellAnchor>
  <xdr:oneCellAnchor>
    <xdr:from>
      <xdr:col>11</xdr:col>
      <xdr:colOff>514350</xdr:colOff>
      <xdr:row>10</xdr:row>
      <xdr:rowOff>114300</xdr:rowOff>
    </xdr:from>
    <xdr:ext cx="184731" cy="264560"/>
    <xdr:sp macro="" textlink="">
      <xdr:nvSpPr>
        <xdr:cNvPr id="39" name="TextBox 38">
          <a:extLst>
            <a:ext uri="{FF2B5EF4-FFF2-40B4-BE49-F238E27FC236}">
              <a16:creationId xmlns:a16="http://schemas.microsoft.com/office/drawing/2014/main" id="{4E542DE7-350C-9A99-E564-7FF94453DD02}"/>
            </a:ext>
          </a:extLst>
        </xdr:cNvPr>
        <xdr:cNvSpPr txBox="1"/>
      </xdr:nvSpPr>
      <xdr:spPr>
        <a:xfrm>
          <a:off x="7219950" y="201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twoCellAnchor>
    <xdr:from>
      <xdr:col>11</xdr:col>
      <xdr:colOff>381000</xdr:colOff>
      <xdr:row>10</xdr:row>
      <xdr:rowOff>38100</xdr:rowOff>
    </xdr:from>
    <xdr:to>
      <xdr:col>12</xdr:col>
      <xdr:colOff>209550</xdr:colOff>
      <xdr:row>11</xdr:row>
      <xdr:rowOff>47625</xdr:rowOff>
    </xdr:to>
    <xdr:sp macro="" textlink="">
      <xdr:nvSpPr>
        <xdr:cNvPr id="40" name="TextBox 39">
          <a:extLst>
            <a:ext uri="{FF2B5EF4-FFF2-40B4-BE49-F238E27FC236}">
              <a16:creationId xmlns:a16="http://schemas.microsoft.com/office/drawing/2014/main" id="{0C77F47D-17C1-55A6-3387-6E2C5817693C}"/>
            </a:ext>
          </a:extLst>
        </xdr:cNvPr>
        <xdr:cNvSpPr txBox="1"/>
      </xdr:nvSpPr>
      <xdr:spPr>
        <a:xfrm>
          <a:off x="7086600" y="1943100"/>
          <a:ext cx="438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Paid</a:t>
          </a:r>
          <a:endParaRPr lang="en-NG" sz="1100" b="1">
            <a:solidFill>
              <a:srgbClr val="993300"/>
            </a:solidFill>
          </a:endParaRPr>
        </a:p>
      </xdr:txBody>
    </xdr:sp>
    <xdr:clientData/>
  </xdr:twoCellAnchor>
  <xdr:twoCellAnchor>
    <xdr:from>
      <xdr:col>11</xdr:col>
      <xdr:colOff>409575</xdr:colOff>
      <xdr:row>13</xdr:row>
      <xdr:rowOff>57150</xdr:rowOff>
    </xdr:from>
    <xdr:to>
      <xdr:col>12</xdr:col>
      <xdr:colOff>238125</xdr:colOff>
      <xdr:row>14</xdr:row>
      <xdr:rowOff>66675</xdr:rowOff>
    </xdr:to>
    <xdr:sp macro="" textlink="">
      <xdr:nvSpPr>
        <xdr:cNvPr id="49" name="TextBox 48">
          <a:extLst>
            <a:ext uri="{FF2B5EF4-FFF2-40B4-BE49-F238E27FC236}">
              <a16:creationId xmlns:a16="http://schemas.microsoft.com/office/drawing/2014/main" id="{15CCFDCB-8DE4-43B5-B6DD-B832FA70B325}"/>
            </a:ext>
          </a:extLst>
        </xdr:cNvPr>
        <xdr:cNvSpPr txBox="1"/>
      </xdr:nvSpPr>
      <xdr:spPr>
        <a:xfrm>
          <a:off x="7115175" y="2533650"/>
          <a:ext cx="438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Paid</a:t>
          </a:r>
          <a:endParaRPr lang="en-NG" sz="1100" b="1">
            <a:solidFill>
              <a:srgbClr val="993300"/>
            </a:solidFill>
          </a:endParaRPr>
        </a:p>
      </xdr:txBody>
    </xdr:sp>
    <xdr:clientData/>
  </xdr:twoCellAnchor>
  <xdr:twoCellAnchor>
    <xdr:from>
      <xdr:col>11</xdr:col>
      <xdr:colOff>428625</xdr:colOff>
      <xdr:row>16</xdr:row>
      <xdr:rowOff>9525</xdr:rowOff>
    </xdr:from>
    <xdr:to>
      <xdr:col>12</xdr:col>
      <xdr:colOff>257175</xdr:colOff>
      <xdr:row>17</xdr:row>
      <xdr:rowOff>19050</xdr:rowOff>
    </xdr:to>
    <xdr:sp macro="" textlink="">
      <xdr:nvSpPr>
        <xdr:cNvPr id="50" name="TextBox 49">
          <a:extLst>
            <a:ext uri="{FF2B5EF4-FFF2-40B4-BE49-F238E27FC236}">
              <a16:creationId xmlns:a16="http://schemas.microsoft.com/office/drawing/2014/main" id="{D1D6988B-E9B5-4F7D-A47A-4873DD4665A6}"/>
            </a:ext>
          </a:extLst>
        </xdr:cNvPr>
        <xdr:cNvSpPr txBox="1"/>
      </xdr:nvSpPr>
      <xdr:spPr>
        <a:xfrm>
          <a:off x="7134225" y="3057525"/>
          <a:ext cx="438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Paid</a:t>
          </a:r>
          <a:endParaRPr lang="en-NG" sz="1100" b="1">
            <a:solidFill>
              <a:srgbClr val="993300"/>
            </a:solidFill>
          </a:endParaRPr>
        </a:p>
      </xdr:txBody>
    </xdr:sp>
    <xdr:clientData/>
  </xdr:twoCellAnchor>
  <xdr:twoCellAnchor>
    <xdr:from>
      <xdr:col>12</xdr:col>
      <xdr:colOff>228599</xdr:colOff>
      <xdr:row>10</xdr:row>
      <xdr:rowOff>38100</xdr:rowOff>
    </xdr:from>
    <xdr:to>
      <xdr:col>13</xdr:col>
      <xdr:colOff>161924</xdr:colOff>
      <xdr:row>11</xdr:row>
      <xdr:rowOff>47625</xdr:rowOff>
    </xdr:to>
    <xdr:sp macro="" textlink="">
      <xdr:nvSpPr>
        <xdr:cNvPr id="51" name="TextBox 50">
          <a:extLst>
            <a:ext uri="{FF2B5EF4-FFF2-40B4-BE49-F238E27FC236}">
              <a16:creationId xmlns:a16="http://schemas.microsoft.com/office/drawing/2014/main" id="{C0565619-42F7-4F53-9FB3-6B9120090CA4}"/>
            </a:ext>
          </a:extLst>
        </xdr:cNvPr>
        <xdr:cNvSpPr txBox="1"/>
      </xdr:nvSpPr>
      <xdr:spPr>
        <a:xfrm>
          <a:off x="7543799" y="1943100"/>
          <a:ext cx="5429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Leads</a:t>
          </a:r>
          <a:endParaRPr lang="en-NG" sz="1100" b="1">
            <a:solidFill>
              <a:srgbClr val="993300"/>
            </a:solidFill>
          </a:endParaRPr>
        </a:p>
      </xdr:txBody>
    </xdr:sp>
    <xdr:clientData/>
  </xdr:twoCellAnchor>
  <xdr:twoCellAnchor>
    <xdr:from>
      <xdr:col>12</xdr:col>
      <xdr:colOff>257174</xdr:colOff>
      <xdr:row>13</xdr:row>
      <xdr:rowOff>57150</xdr:rowOff>
    </xdr:from>
    <xdr:to>
      <xdr:col>13</xdr:col>
      <xdr:colOff>190499</xdr:colOff>
      <xdr:row>14</xdr:row>
      <xdr:rowOff>66675</xdr:rowOff>
    </xdr:to>
    <xdr:sp macro="" textlink="">
      <xdr:nvSpPr>
        <xdr:cNvPr id="52" name="TextBox 51">
          <a:extLst>
            <a:ext uri="{FF2B5EF4-FFF2-40B4-BE49-F238E27FC236}">
              <a16:creationId xmlns:a16="http://schemas.microsoft.com/office/drawing/2014/main" id="{AFCFE6DA-DD62-40A6-93A8-0D465A877BA8}"/>
            </a:ext>
          </a:extLst>
        </xdr:cNvPr>
        <xdr:cNvSpPr txBox="1"/>
      </xdr:nvSpPr>
      <xdr:spPr>
        <a:xfrm>
          <a:off x="7572374" y="2533650"/>
          <a:ext cx="5429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Leads</a:t>
          </a:r>
          <a:endParaRPr lang="en-NG" sz="1100" b="1">
            <a:solidFill>
              <a:srgbClr val="993300"/>
            </a:solidFill>
          </a:endParaRPr>
        </a:p>
      </xdr:txBody>
    </xdr:sp>
    <xdr:clientData/>
  </xdr:twoCellAnchor>
  <xdr:twoCellAnchor>
    <xdr:from>
      <xdr:col>12</xdr:col>
      <xdr:colOff>276224</xdr:colOff>
      <xdr:row>16</xdr:row>
      <xdr:rowOff>9525</xdr:rowOff>
    </xdr:from>
    <xdr:to>
      <xdr:col>13</xdr:col>
      <xdr:colOff>209549</xdr:colOff>
      <xdr:row>17</xdr:row>
      <xdr:rowOff>19050</xdr:rowOff>
    </xdr:to>
    <xdr:sp macro="" textlink="">
      <xdr:nvSpPr>
        <xdr:cNvPr id="53" name="TextBox 52">
          <a:extLst>
            <a:ext uri="{FF2B5EF4-FFF2-40B4-BE49-F238E27FC236}">
              <a16:creationId xmlns:a16="http://schemas.microsoft.com/office/drawing/2014/main" id="{AAE1CFD6-7244-4880-8873-E791ABF28CF0}"/>
            </a:ext>
          </a:extLst>
        </xdr:cNvPr>
        <xdr:cNvSpPr txBox="1"/>
      </xdr:nvSpPr>
      <xdr:spPr>
        <a:xfrm>
          <a:off x="7591424" y="3057525"/>
          <a:ext cx="5429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Leads</a:t>
          </a:r>
          <a:endParaRPr lang="en-NG" sz="1100" b="1">
            <a:solidFill>
              <a:srgbClr val="993300"/>
            </a:solidFill>
          </a:endParaRPr>
        </a:p>
      </xdr:txBody>
    </xdr:sp>
    <xdr:clientData/>
  </xdr:twoCellAnchor>
  <xdr:twoCellAnchor>
    <xdr:from>
      <xdr:col>13</xdr:col>
      <xdr:colOff>180974</xdr:colOff>
      <xdr:row>10</xdr:row>
      <xdr:rowOff>38100</xdr:rowOff>
    </xdr:from>
    <xdr:to>
      <xdr:col>14</xdr:col>
      <xdr:colOff>114299</xdr:colOff>
      <xdr:row>11</xdr:row>
      <xdr:rowOff>47625</xdr:rowOff>
    </xdr:to>
    <xdr:sp macro="" textlink="">
      <xdr:nvSpPr>
        <xdr:cNvPr id="54" name="TextBox 53">
          <a:extLst>
            <a:ext uri="{FF2B5EF4-FFF2-40B4-BE49-F238E27FC236}">
              <a16:creationId xmlns:a16="http://schemas.microsoft.com/office/drawing/2014/main" id="{110420F7-0D21-4262-BCE9-EEF39F6D0BF4}"/>
            </a:ext>
          </a:extLst>
        </xdr:cNvPr>
        <xdr:cNvSpPr txBox="1"/>
      </xdr:nvSpPr>
      <xdr:spPr>
        <a:xfrm>
          <a:off x="8105774" y="1943100"/>
          <a:ext cx="5429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CR</a:t>
          </a:r>
          <a:endParaRPr lang="en-NG" sz="1100" b="1">
            <a:solidFill>
              <a:srgbClr val="993300"/>
            </a:solidFill>
          </a:endParaRPr>
        </a:p>
      </xdr:txBody>
    </xdr:sp>
    <xdr:clientData/>
  </xdr:twoCellAnchor>
  <xdr:twoCellAnchor>
    <xdr:from>
      <xdr:col>13</xdr:col>
      <xdr:colOff>209549</xdr:colOff>
      <xdr:row>13</xdr:row>
      <xdr:rowOff>57150</xdr:rowOff>
    </xdr:from>
    <xdr:to>
      <xdr:col>14</xdr:col>
      <xdr:colOff>142874</xdr:colOff>
      <xdr:row>14</xdr:row>
      <xdr:rowOff>66675</xdr:rowOff>
    </xdr:to>
    <xdr:sp macro="" textlink="">
      <xdr:nvSpPr>
        <xdr:cNvPr id="55" name="TextBox 54">
          <a:extLst>
            <a:ext uri="{FF2B5EF4-FFF2-40B4-BE49-F238E27FC236}">
              <a16:creationId xmlns:a16="http://schemas.microsoft.com/office/drawing/2014/main" id="{33B6CCC3-F226-4D8C-B106-637F3E0F841B}"/>
            </a:ext>
          </a:extLst>
        </xdr:cNvPr>
        <xdr:cNvSpPr txBox="1"/>
      </xdr:nvSpPr>
      <xdr:spPr>
        <a:xfrm>
          <a:off x="8134349" y="2533650"/>
          <a:ext cx="5429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CR</a:t>
          </a:r>
          <a:endParaRPr lang="en-NG" sz="1100" b="1">
            <a:solidFill>
              <a:srgbClr val="993300"/>
            </a:solidFill>
          </a:endParaRPr>
        </a:p>
      </xdr:txBody>
    </xdr:sp>
    <xdr:clientData/>
  </xdr:twoCellAnchor>
  <xdr:twoCellAnchor>
    <xdr:from>
      <xdr:col>13</xdr:col>
      <xdr:colOff>228599</xdr:colOff>
      <xdr:row>16</xdr:row>
      <xdr:rowOff>9525</xdr:rowOff>
    </xdr:from>
    <xdr:to>
      <xdr:col>14</xdr:col>
      <xdr:colOff>161924</xdr:colOff>
      <xdr:row>17</xdr:row>
      <xdr:rowOff>19050</xdr:rowOff>
    </xdr:to>
    <xdr:sp macro="" textlink="">
      <xdr:nvSpPr>
        <xdr:cNvPr id="56" name="TextBox 55">
          <a:extLst>
            <a:ext uri="{FF2B5EF4-FFF2-40B4-BE49-F238E27FC236}">
              <a16:creationId xmlns:a16="http://schemas.microsoft.com/office/drawing/2014/main" id="{F81800A6-618A-478A-B49E-7BBB821726F8}"/>
            </a:ext>
          </a:extLst>
        </xdr:cNvPr>
        <xdr:cNvSpPr txBox="1"/>
      </xdr:nvSpPr>
      <xdr:spPr>
        <a:xfrm>
          <a:off x="8153399" y="3057525"/>
          <a:ext cx="5429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CR</a:t>
          </a:r>
          <a:endParaRPr lang="en-NG" sz="1100" b="1">
            <a:solidFill>
              <a:srgbClr val="993300"/>
            </a:solidFill>
          </a:endParaRPr>
        </a:p>
      </xdr:txBody>
    </xdr:sp>
    <xdr:clientData/>
  </xdr:twoCellAnchor>
  <xdr:twoCellAnchor>
    <xdr:from>
      <xdr:col>13</xdr:col>
      <xdr:colOff>200024</xdr:colOff>
      <xdr:row>11</xdr:row>
      <xdr:rowOff>47624</xdr:rowOff>
    </xdr:from>
    <xdr:to>
      <xdr:col>14</xdr:col>
      <xdr:colOff>133349</xdr:colOff>
      <xdr:row>12</xdr:row>
      <xdr:rowOff>57149</xdr:rowOff>
    </xdr:to>
    <xdr:sp macro="" textlink="">
      <xdr:nvSpPr>
        <xdr:cNvPr id="57" name="TextBox 56">
          <a:extLst>
            <a:ext uri="{FF2B5EF4-FFF2-40B4-BE49-F238E27FC236}">
              <a16:creationId xmlns:a16="http://schemas.microsoft.com/office/drawing/2014/main" id="{EAD3D6FE-841B-8B48-1CD4-A69E12D54C2C}"/>
            </a:ext>
          </a:extLst>
        </xdr:cNvPr>
        <xdr:cNvSpPr txBox="1"/>
      </xdr:nvSpPr>
      <xdr:spPr>
        <a:xfrm>
          <a:off x="8124824" y="2143124"/>
          <a:ext cx="5429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34.6%</a:t>
          </a:r>
          <a:endParaRPr lang="en-NG" sz="1100" b="1">
            <a:solidFill>
              <a:schemeClr val="bg1"/>
            </a:solidFill>
          </a:endParaRPr>
        </a:p>
      </xdr:txBody>
    </xdr:sp>
    <xdr:clientData/>
  </xdr:twoCellAnchor>
  <xdr:twoCellAnchor>
    <xdr:from>
      <xdr:col>13</xdr:col>
      <xdr:colOff>209549</xdr:colOff>
      <xdr:row>14</xdr:row>
      <xdr:rowOff>9525</xdr:rowOff>
    </xdr:from>
    <xdr:to>
      <xdr:col>14</xdr:col>
      <xdr:colOff>85724</xdr:colOff>
      <xdr:row>15</xdr:row>
      <xdr:rowOff>28575</xdr:rowOff>
    </xdr:to>
    <xdr:sp macro="" textlink="">
      <xdr:nvSpPr>
        <xdr:cNvPr id="58" name="TextBox 57">
          <a:extLst>
            <a:ext uri="{FF2B5EF4-FFF2-40B4-BE49-F238E27FC236}">
              <a16:creationId xmlns:a16="http://schemas.microsoft.com/office/drawing/2014/main" id="{CE192FD4-8106-4015-B189-8A6CC72E504D}"/>
            </a:ext>
          </a:extLst>
        </xdr:cNvPr>
        <xdr:cNvSpPr txBox="1"/>
      </xdr:nvSpPr>
      <xdr:spPr>
        <a:xfrm>
          <a:off x="8134349" y="2676525"/>
          <a:ext cx="4857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0.0%</a:t>
          </a:r>
          <a:endParaRPr lang="en-NG" sz="1100" b="1">
            <a:solidFill>
              <a:schemeClr val="bg1"/>
            </a:solidFill>
          </a:endParaRPr>
        </a:p>
      </xdr:txBody>
    </xdr:sp>
    <xdr:clientData/>
  </xdr:twoCellAnchor>
  <xdr:twoCellAnchor>
    <xdr:from>
      <xdr:col>13</xdr:col>
      <xdr:colOff>238124</xdr:colOff>
      <xdr:row>16</xdr:row>
      <xdr:rowOff>152400</xdr:rowOff>
    </xdr:from>
    <xdr:to>
      <xdr:col>14</xdr:col>
      <xdr:colOff>200025</xdr:colOff>
      <xdr:row>17</xdr:row>
      <xdr:rowOff>180975</xdr:rowOff>
    </xdr:to>
    <xdr:sp macro="" textlink="">
      <xdr:nvSpPr>
        <xdr:cNvPr id="59" name="TextBox 58">
          <a:extLst>
            <a:ext uri="{FF2B5EF4-FFF2-40B4-BE49-F238E27FC236}">
              <a16:creationId xmlns:a16="http://schemas.microsoft.com/office/drawing/2014/main" id="{DA0AB5AA-E491-475F-987E-8E6C140DA8C1}"/>
            </a:ext>
          </a:extLst>
        </xdr:cNvPr>
        <xdr:cNvSpPr txBox="1"/>
      </xdr:nvSpPr>
      <xdr:spPr>
        <a:xfrm>
          <a:off x="8162924" y="3200400"/>
          <a:ext cx="571501"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64.6%</a:t>
          </a:r>
          <a:endParaRPr lang="en-NG" sz="1100" b="1">
            <a:solidFill>
              <a:schemeClr val="bg1"/>
            </a:solidFill>
          </a:endParaRPr>
        </a:p>
      </xdr:txBody>
    </xdr:sp>
    <xdr:clientData/>
  </xdr:twoCellAnchor>
  <xdr:twoCellAnchor>
    <xdr:from>
      <xdr:col>12</xdr:col>
      <xdr:colOff>285749</xdr:colOff>
      <xdr:row>11</xdr:row>
      <xdr:rowOff>38100</xdr:rowOff>
    </xdr:from>
    <xdr:to>
      <xdr:col>13</xdr:col>
      <xdr:colOff>123825</xdr:colOff>
      <xdr:row>12</xdr:row>
      <xdr:rowOff>66675</xdr:rowOff>
    </xdr:to>
    <xdr:sp macro="" textlink="">
      <xdr:nvSpPr>
        <xdr:cNvPr id="60" name="TextBox 59">
          <a:extLst>
            <a:ext uri="{FF2B5EF4-FFF2-40B4-BE49-F238E27FC236}">
              <a16:creationId xmlns:a16="http://schemas.microsoft.com/office/drawing/2014/main" id="{48D71C21-E625-40F1-8E26-05A5FD5B3077}"/>
            </a:ext>
          </a:extLst>
        </xdr:cNvPr>
        <xdr:cNvSpPr txBox="1"/>
      </xdr:nvSpPr>
      <xdr:spPr>
        <a:xfrm>
          <a:off x="7600949" y="2133600"/>
          <a:ext cx="447676"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104</a:t>
          </a:r>
          <a:endParaRPr lang="en-NG" sz="1100" b="1">
            <a:solidFill>
              <a:schemeClr val="bg1"/>
            </a:solidFill>
          </a:endParaRPr>
        </a:p>
      </xdr:txBody>
    </xdr:sp>
    <xdr:clientData/>
  </xdr:twoCellAnchor>
  <xdr:twoCellAnchor>
    <xdr:from>
      <xdr:col>11</xdr:col>
      <xdr:colOff>428625</xdr:colOff>
      <xdr:row>11</xdr:row>
      <xdr:rowOff>47625</xdr:rowOff>
    </xdr:from>
    <xdr:to>
      <xdr:col>12</xdr:col>
      <xdr:colOff>161925</xdr:colOff>
      <xdr:row>12</xdr:row>
      <xdr:rowOff>66675</xdr:rowOff>
    </xdr:to>
    <xdr:sp macro="" textlink="">
      <xdr:nvSpPr>
        <xdr:cNvPr id="61" name="TextBox 60">
          <a:extLst>
            <a:ext uri="{FF2B5EF4-FFF2-40B4-BE49-F238E27FC236}">
              <a16:creationId xmlns:a16="http://schemas.microsoft.com/office/drawing/2014/main" id="{3018E32C-0275-4BBF-97E7-6927C65480FB}"/>
            </a:ext>
          </a:extLst>
        </xdr:cNvPr>
        <xdr:cNvSpPr txBox="1"/>
      </xdr:nvSpPr>
      <xdr:spPr>
        <a:xfrm>
          <a:off x="7134225" y="2143125"/>
          <a:ext cx="342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36</a:t>
          </a:r>
          <a:endParaRPr lang="en-NG" sz="1100" b="1">
            <a:solidFill>
              <a:schemeClr val="bg1"/>
            </a:solidFill>
          </a:endParaRPr>
        </a:p>
      </xdr:txBody>
    </xdr:sp>
    <xdr:clientData/>
  </xdr:twoCellAnchor>
  <xdr:twoCellAnchor>
    <xdr:from>
      <xdr:col>11</xdr:col>
      <xdr:colOff>457200</xdr:colOff>
      <xdr:row>14</xdr:row>
      <xdr:rowOff>9525</xdr:rowOff>
    </xdr:from>
    <xdr:to>
      <xdr:col>12</xdr:col>
      <xdr:colOff>190500</xdr:colOff>
      <xdr:row>15</xdr:row>
      <xdr:rowOff>28575</xdr:rowOff>
    </xdr:to>
    <xdr:sp macro="" textlink="">
      <xdr:nvSpPr>
        <xdr:cNvPr id="62" name="TextBox 61">
          <a:extLst>
            <a:ext uri="{FF2B5EF4-FFF2-40B4-BE49-F238E27FC236}">
              <a16:creationId xmlns:a16="http://schemas.microsoft.com/office/drawing/2014/main" id="{C702FB2F-08E7-4677-B95F-59B7393A3545}"/>
            </a:ext>
          </a:extLst>
        </xdr:cNvPr>
        <xdr:cNvSpPr txBox="1"/>
      </xdr:nvSpPr>
      <xdr:spPr>
        <a:xfrm>
          <a:off x="7162800" y="2676525"/>
          <a:ext cx="342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0</a:t>
          </a:r>
          <a:endParaRPr lang="en-NG" sz="1100" b="1">
            <a:solidFill>
              <a:schemeClr val="bg1"/>
            </a:solidFill>
          </a:endParaRPr>
        </a:p>
      </xdr:txBody>
    </xdr:sp>
    <xdr:clientData/>
  </xdr:twoCellAnchor>
  <xdr:twoCellAnchor>
    <xdr:from>
      <xdr:col>12</xdr:col>
      <xdr:colOff>333375</xdr:colOff>
      <xdr:row>14</xdr:row>
      <xdr:rowOff>9525</xdr:rowOff>
    </xdr:from>
    <xdr:to>
      <xdr:col>13</xdr:col>
      <xdr:colOff>66675</xdr:colOff>
      <xdr:row>15</xdr:row>
      <xdr:rowOff>28575</xdr:rowOff>
    </xdr:to>
    <xdr:sp macro="" textlink="">
      <xdr:nvSpPr>
        <xdr:cNvPr id="63" name="TextBox 62">
          <a:extLst>
            <a:ext uri="{FF2B5EF4-FFF2-40B4-BE49-F238E27FC236}">
              <a16:creationId xmlns:a16="http://schemas.microsoft.com/office/drawing/2014/main" id="{7889752B-EB87-4289-AB03-DB3F461B92C0}"/>
            </a:ext>
          </a:extLst>
        </xdr:cNvPr>
        <xdr:cNvSpPr txBox="1"/>
      </xdr:nvSpPr>
      <xdr:spPr>
        <a:xfrm>
          <a:off x="7648575" y="2676525"/>
          <a:ext cx="342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99</a:t>
          </a:r>
          <a:endParaRPr lang="en-NG" sz="1100" b="1">
            <a:solidFill>
              <a:schemeClr val="bg1"/>
            </a:solidFill>
          </a:endParaRPr>
        </a:p>
      </xdr:txBody>
    </xdr:sp>
    <xdr:clientData/>
  </xdr:twoCellAnchor>
  <xdr:twoCellAnchor>
    <xdr:from>
      <xdr:col>11</xdr:col>
      <xdr:colOff>457200</xdr:colOff>
      <xdr:row>16</xdr:row>
      <xdr:rowOff>171450</xdr:rowOff>
    </xdr:from>
    <xdr:to>
      <xdr:col>12</xdr:col>
      <xdr:colOff>190500</xdr:colOff>
      <xdr:row>18</xdr:row>
      <xdr:rowOff>0</xdr:rowOff>
    </xdr:to>
    <xdr:sp macro="" textlink="">
      <xdr:nvSpPr>
        <xdr:cNvPr id="64" name="TextBox 63">
          <a:extLst>
            <a:ext uri="{FF2B5EF4-FFF2-40B4-BE49-F238E27FC236}">
              <a16:creationId xmlns:a16="http://schemas.microsoft.com/office/drawing/2014/main" id="{77CC6860-6B24-4230-97CD-83724D4FF1C9}"/>
            </a:ext>
          </a:extLst>
        </xdr:cNvPr>
        <xdr:cNvSpPr txBox="1"/>
      </xdr:nvSpPr>
      <xdr:spPr>
        <a:xfrm>
          <a:off x="7162800" y="3219450"/>
          <a:ext cx="342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64</a:t>
          </a:r>
          <a:endParaRPr lang="en-NG" sz="1100" b="1">
            <a:solidFill>
              <a:schemeClr val="bg1"/>
            </a:solidFill>
          </a:endParaRPr>
        </a:p>
      </xdr:txBody>
    </xdr:sp>
    <xdr:clientData/>
  </xdr:twoCellAnchor>
  <xdr:twoCellAnchor>
    <xdr:from>
      <xdr:col>12</xdr:col>
      <xdr:colOff>352425</xdr:colOff>
      <xdr:row>16</xdr:row>
      <xdr:rowOff>161925</xdr:rowOff>
    </xdr:from>
    <xdr:to>
      <xdr:col>13</xdr:col>
      <xdr:colOff>85725</xdr:colOff>
      <xdr:row>17</xdr:row>
      <xdr:rowOff>180975</xdr:rowOff>
    </xdr:to>
    <xdr:sp macro="" textlink="">
      <xdr:nvSpPr>
        <xdr:cNvPr id="66" name="TextBox 65">
          <a:extLst>
            <a:ext uri="{FF2B5EF4-FFF2-40B4-BE49-F238E27FC236}">
              <a16:creationId xmlns:a16="http://schemas.microsoft.com/office/drawing/2014/main" id="{29F1BFB4-7C58-49A4-9605-956EC90A76C0}"/>
            </a:ext>
          </a:extLst>
        </xdr:cNvPr>
        <xdr:cNvSpPr txBox="1"/>
      </xdr:nvSpPr>
      <xdr:spPr>
        <a:xfrm>
          <a:off x="7667625" y="3209925"/>
          <a:ext cx="342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99</a:t>
          </a:r>
          <a:endParaRPr lang="en-NG" sz="1100" b="1">
            <a:solidFill>
              <a:schemeClr val="bg1"/>
            </a:solidFill>
          </a:endParaRPr>
        </a:p>
      </xdr:txBody>
    </xdr:sp>
    <xdr:clientData/>
  </xdr:twoCellAnchor>
  <xdr:twoCellAnchor editAs="oneCell">
    <xdr:from>
      <xdr:col>17</xdr:col>
      <xdr:colOff>145499</xdr:colOff>
      <xdr:row>18</xdr:row>
      <xdr:rowOff>38100</xdr:rowOff>
    </xdr:from>
    <xdr:to>
      <xdr:col>20</xdr:col>
      <xdr:colOff>695324</xdr:colOff>
      <xdr:row>20</xdr:row>
      <xdr:rowOff>123825</xdr:rowOff>
    </xdr:to>
    <mc:AlternateContent xmlns:mc="http://schemas.openxmlformats.org/markup-compatibility/2006" xmlns:a14="http://schemas.microsoft.com/office/drawing/2010/main">
      <mc:Choice Requires="a14">
        <xdr:graphicFrame macro="">
          <xdr:nvGraphicFramePr>
            <xdr:cNvPr id="67" name="Inspection 1">
              <a:extLst>
                <a:ext uri="{FF2B5EF4-FFF2-40B4-BE49-F238E27FC236}">
                  <a16:creationId xmlns:a16="http://schemas.microsoft.com/office/drawing/2014/main" id="{747E3A80-C2E3-4B7E-BE37-A7DC92D2D505}"/>
                </a:ext>
              </a:extLst>
            </xdr:cNvPr>
            <xdr:cNvGraphicFramePr/>
          </xdr:nvGraphicFramePr>
          <xdr:xfrm>
            <a:off x="0" y="0"/>
            <a:ext cx="0" cy="0"/>
          </xdr:xfrm>
          <a:graphic>
            <a:graphicData uri="http://schemas.microsoft.com/office/drawing/2010/slicer">
              <sle:slicer xmlns:sle="http://schemas.microsoft.com/office/drawing/2010/slicer" name="Inspection 1"/>
            </a:graphicData>
          </a:graphic>
        </xdr:graphicFrame>
      </mc:Choice>
      <mc:Fallback xmlns="">
        <xdr:sp macro="" textlink="">
          <xdr:nvSpPr>
            <xdr:cNvPr id="0" name=""/>
            <xdr:cNvSpPr>
              <a:spLocks noTextEdit="1"/>
            </xdr:cNvSpPr>
          </xdr:nvSpPr>
          <xdr:spPr>
            <a:xfrm>
              <a:off x="10508699" y="3467100"/>
              <a:ext cx="2378625" cy="4667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122376</xdr:colOff>
      <xdr:row>12</xdr:row>
      <xdr:rowOff>68995</xdr:rowOff>
    </xdr:from>
    <xdr:to>
      <xdr:col>19</xdr:col>
      <xdr:colOff>179526</xdr:colOff>
      <xdr:row>18</xdr:row>
      <xdr:rowOff>116620</xdr:rowOff>
    </xdr:to>
    <xdr:graphicFrame macro="">
      <xdr:nvGraphicFramePr>
        <xdr:cNvPr id="68" name="Chart 67">
          <a:extLst>
            <a:ext uri="{FF2B5EF4-FFF2-40B4-BE49-F238E27FC236}">
              <a16:creationId xmlns:a16="http://schemas.microsoft.com/office/drawing/2014/main" id="{DBC5E225-0985-463C-A3FB-66D047A87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255725</xdr:colOff>
      <xdr:row>12</xdr:row>
      <xdr:rowOff>62817</xdr:rowOff>
    </xdr:from>
    <xdr:to>
      <xdr:col>21</xdr:col>
      <xdr:colOff>0</xdr:colOff>
      <xdr:row>18</xdr:row>
      <xdr:rowOff>91392</xdr:rowOff>
    </xdr:to>
    <xdr:graphicFrame macro="">
      <xdr:nvGraphicFramePr>
        <xdr:cNvPr id="69" name="Chart 68">
          <a:extLst>
            <a:ext uri="{FF2B5EF4-FFF2-40B4-BE49-F238E27FC236}">
              <a16:creationId xmlns:a16="http://schemas.microsoft.com/office/drawing/2014/main" id="{628A5246-E2F2-4A14-8E5C-A9DAD90C6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57148</xdr:colOff>
      <xdr:row>9</xdr:row>
      <xdr:rowOff>186690</xdr:rowOff>
    </xdr:from>
    <xdr:to>
      <xdr:col>18</xdr:col>
      <xdr:colOff>542925</xdr:colOff>
      <xdr:row>11</xdr:row>
      <xdr:rowOff>41909</xdr:rowOff>
    </xdr:to>
    <xdr:sp macro="" textlink="">
      <xdr:nvSpPr>
        <xdr:cNvPr id="70" name="TextBox 69">
          <a:extLst>
            <a:ext uri="{FF2B5EF4-FFF2-40B4-BE49-F238E27FC236}">
              <a16:creationId xmlns:a16="http://schemas.microsoft.com/office/drawing/2014/main" id="{C1BB39DF-40F5-4FD4-B031-80634653D40C}"/>
            </a:ext>
          </a:extLst>
        </xdr:cNvPr>
        <xdr:cNvSpPr txBox="1"/>
      </xdr:nvSpPr>
      <xdr:spPr>
        <a:xfrm>
          <a:off x="10420348" y="1901190"/>
          <a:ext cx="1095377" cy="23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FFFF"/>
              </a:solidFill>
            </a:rPr>
            <a:t>Yet to Inspect</a:t>
          </a:r>
          <a:endParaRPr lang="en-NG" sz="1100" b="1">
            <a:solidFill>
              <a:srgbClr val="00FFFF"/>
            </a:solidFill>
          </a:endParaRPr>
        </a:p>
      </xdr:txBody>
    </xdr:sp>
    <xdr:clientData/>
  </xdr:twoCellAnchor>
  <xdr:twoCellAnchor>
    <xdr:from>
      <xdr:col>19</xdr:col>
      <xdr:colOff>219073</xdr:colOff>
      <xdr:row>9</xdr:row>
      <xdr:rowOff>177165</xdr:rowOff>
    </xdr:from>
    <xdr:to>
      <xdr:col>20</xdr:col>
      <xdr:colOff>381000</xdr:colOff>
      <xdr:row>11</xdr:row>
      <xdr:rowOff>32384</xdr:rowOff>
    </xdr:to>
    <xdr:sp macro="" textlink="">
      <xdr:nvSpPr>
        <xdr:cNvPr id="71" name="TextBox 70">
          <a:extLst>
            <a:ext uri="{FF2B5EF4-FFF2-40B4-BE49-F238E27FC236}">
              <a16:creationId xmlns:a16="http://schemas.microsoft.com/office/drawing/2014/main" id="{DBF1FB95-B0E0-42F9-AADC-7E884776D0FB}"/>
            </a:ext>
          </a:extLst>
        </xdr:cNvPr>
        <xdr:cNvSpPr txBox="1"/>
      </xdr:nvSpPr>
      <xdr:spPr>
        <a:xfrm>
          <a:off x="11801473" y="1891665"/>
          <a:ext cx="771527" cy="23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FFFF"/>
              </a:solidFill>
            </a:rPr>
            <a:t>Inspected</a:t>
          </a:r>
          <a:endParaRPr lang="en-NG" sz="1100" b="1">
            <a:solidFill>
              <a:srgbClr val="00FFFF"/>
            </a:solidFill>
          </a:endParaRPr>
        </a:p>
      </xdr:txBody>
    </xdr:sp>
    <xdr:clientData/>
  </xdr:twoCellAnchor>
  <xdr:twoCellAnchor>
    <xdr:from>
      <xdr:col>17</xdr:col>
      <xdr:colOff>102970</xdr:colOff>
      <xdr:row>10</xdr:row>
      <xdr:rowOff>128715</xdr:rowOff>
    </xdr:from>
    <xdr:to>
      <xdr:col>17</xdr:col>
      <xdr:colOff>566349</xdr:colOff>
      <xdr:row>11</xdr:row>
      <xdr:rowOff>180199</xdr:rowOff>
    </xdr:to>
    <xdr:sp macro="" textlink="">
      <xdr:nvSpPr>
        <xdr:cNvPr id="42" name="TextBox 41">
          <a:extLst>
            <a:ext uri="{FF2B5EF4-FFF2-40B4-BE49-F238E27FC236}">
              <a16:creationId xmlns:a16="http://schemas.microsoft.com/office/drawing/2014/main" id="{78A20A35-2684-E8C4-C0AC-AEE65E99F218}"/>
            </a:ext>
          </a:extLst>
        </xdr:cNvPr>
        <xdr:cNvSpPr txBox="1"/>
      </xdr:nvSpPr>
      <xdr:spPr>
        <a:xfrm>
          <a:off x="10387396" y="2059458"/>
          <a:ext cx="463379" cy="24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Paid</a:t>
          </a:r>
          <a:endParaRPr lang="en-NG" sz="1100" b="1">
            <a:solidFill>
              <a:srgbClr val="993300"/>
            </a:solidFill>
          </a:endParaRPr>
        </a:p>
      </xdr:txBody>
    </xdr:sp>
    <xdr:clientData/>
  </xdr:twoCellAnchor>
  <xdr:twoCellAnchor>
    <xdr:from>
      <xdr:col>17</xdr:col>
      <xdr:colOff>590037</xdr:colOff>
      <xdr:row>10</xdr:row>
      <xdr:rowOff>128715</xdr:rowOff>
    </xdr:from>
    <xdr:to>
      <xdr:col>18</xdr:col>
      <xdr:colOff>514863</xdr:colOff>
      <xdr:row>11</xdr:row>
      <xdr:rowOff>178135</xdr:rowOff>
    </xdr:to>
    <xdr:sp macro="" textlink="">
      <xdr:nvSpPr>
        <xdr:cNvPr id="65" name="TextBox 64">
          <a:extLst>
            <a:ext uri="{FF2B5EF4-FFF2-40B4-BE49-F238E27FC236}">
              <a16:creationId xmlns:a16="http://schemas.microsoft.com/office/drawing/2014/main" id="{FF9E45DE-2DDD-4A36-A2FF-0E642EE21D20}"/>
            </a:ext>
          </a:extLst>
        </xdr:cNvPr>
        <xdr:cNvSpPr txBox="1"/>
      </xdr:nvSpPr>
      <xdr:spPr>
        <a:xfrm>
          <a:off x="10874463" y="2059458"/>
          <a:ext cx="529792" cy="242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Leads</a:t>
          </a:r>
          <a:endParaRPr lang="en-NG" sz="1100" b="1">
            <a:solidFill>
              <a:srgbClr val="993300"/>
            </a:solidFill>
          </a:endParaRPr>
        </a:p>
      </xdr:txBody>
    </xdr:sp>
    <xdr:clientData/>
  </xdr:twoCellAnchor>
  <xdr:twoCellAnchor>
    <xdr:from>
      <xdr:col>19</xdr:col>
      <xdr:colOff>240446</xdr:colOff>
      <xdr:row>10</xdr:row>
      <xdr:rowOff>115843</xdr:rowOff>
    </xdr:from>
    <xdr:to>
      <xdr:col>20</xdr:col>
      <xdr:colOff>98859</xdr:colOff>
      <xdr:row>11</xdr:row>
      <xdr:rowOff>176077</xdr:rowOff>
    </xdr:to>
    <xdr:sp macro="" textlink="">
      <xdr:nvSpPr>
        <xdr:cNvPr id="72" name="TextBox 71">
          <a:extLst>
            <a:ext uri="{FF2B5EF4-FFF2-40B4-BE49-F238E27FC236}">
              <a16:creationId xmlns:a16="http://schemas.microsoft.com/office/drawing/2014/main" id="{33CC8002-D86D-44E3-B2A9-F8CB47EE6D2D}"/>
            </a:ext>
          </a:extLst>
        </xdr:cNvPr>
        <xdr:cNvSpPr txBox="1"/>
      </xdr:nvSpPr>
      <xdr:spPr>
        <a:xfrm>
          <a:off x="11734804" y="2046586"/>
          <a:ext cx="463379" cy="253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Paid</a:t>
          </a:r>
          <a:endParaRPr lang="en-NG" sz="1100" b="1">
            <a:solidFill>
              <a:srgbClr val="993300"/>
            </a:solidFill>
          </a:endParaRPr>
        </a:p>
      </xdr:txBody>
    </xdr:sp>
    <xdr:clientData/>
  </xdr:twoCellAnchor>
  <xdr:twoCellAnchor>
    <xdr:from>
      <xdr:col>20</xdr:col>
      <xdr:colOff>122534</xdr:colOff>
      <xdr:row>10</xdr:row>
      <xdr:rowOff>115843</xdr:rowOff>
    </xdr:from>
    <xdr:to>
      <xdr:col>20</xdr:col>
      <xdr:colOff>669323</xdr:colOff>
      <xdr:row>11</xdr:row>
      <xdr:rowOff>174017</xdr:rowOff>
    </xdr:to>
    <xdr:sp macro="" textlink="">
      <xdr:nvSpPr>
        <xdr:cNvPr id="73" name="TextBox 72">
          <a:extLst>
            <a:ext uri="{FF2B5EF4-FFF2-40B4-BE49-F238E27FC236}">
              <a16:creationId xmlns:a16="http://schemas.microsoft.com/office/drawing/2014/main" id="{7D2FCAC2-4A5F-468C-ACE9-DBD84A8CCC85}"/>
            </a:ext>
          </a:extLst>
        </xdr:cNvPr>
        <xdr:cNvSpPr txBox="1"/>
      </xdr:nvSpPr>
      <xdr:spPr>
        <a:xfrm>
          <a:off x="12221858" y="2046586"/>
          <a:ext cx="546789" cy="251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993300"/>
              </a:solidFill>
            </a:rPr>
            <a:t>Leads</a:t>
          </a:r>
          <a:endParaRPr lang="en-NG" sz="1100" b="1">
            <a:solidFill>
              <a:srgbClr val="993300"/>
            </a:solidFill>
          </a:endParaRPr>
        </a:p>
      </xdr:txBody>
    </xdr:sp>
    <xdr:clientData/>
  </xdr:twoCellAnchor>
  <xdr:twoCellAnchor>
    <xdr:from>
      <xdr:col>17</xdr:col>
      <xdr:colOff>463380</xdr:colOff>
      <xdr:row>14</xdr:row>
      <xdr:rowOff>154458</xdr:rowOff>
    </xdr:from>
    <xdr:to>
      <xdr:col>18</xdr:col>
      <xdr:colOff>489125</xdr:colOff>
      <xdr:row>16</xdr:row>
      <xdr:rowOff>90100</xdr:rowOff>
    </xdr:to>
    <xdr:sp macro="" textlink="">
      <xdr:nvSpPr>
        <xdr:cNvPr id="74" name="TextBox 73">
          <a:extLst>
            <a:ext uri="{FF2B5EF4-FFF2-40B4-BE49-F238E27FC236}">
              <a16:creationId xmlns:a16="http://schemas.microsoft.com/office/drawing/2014/main" id="{A76EEC3B-B516-2251-DF03-87EBB839F5CA}"/>
            </a:ext>
          </a:extLst>
        </xdr:cNvPr>
        <xdr:cNvSpPr txBox="1"/>
      </xdr:nvSpPr>
      <xdr:spPr>
        <a:xfrm>
          <a:off x="10747806" y="2857499"/>
          <a:ext cx="630711" cy="321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bg1"/>
              </a:solidFill>
            </a:rPr>
            <a:t>11.1%</a:t>
          </a:r>
          <a:endParaRPr lang="en-NG" sz="1300" b="1">
            <a:solidFill>
              <a:schemeClr val="bg1"/>
            </a:solidFill>
          </a:endParaRPr>
        </a:p>
      </xdr:txBody>
    </xdr:sp>
    <xdr:clientData/>
  </xdr:twoCellAnchor>
  <xdr:twoCellAnchor>
    <xdr:from>
      <xdr:col>19</xdr:col>
      <xdr:colOff>592097</xdr:colOff>
      <xdr:row>14</xdr:row>
      <xdr:rowOff>128718</xdr:rowOff>
    </xdr:from>
    <xdr:to>
      <xdr:col>20</xdr:col>
      <xdr:colOff>604969</xdr:colOff>
      <xdr:row>16</xdr:row>
      <xdr:rowOff>62302</xdr:rowOff>
    </xdr:to>
    <xdr:sp macro="" textlink="">
      <xdr:nvSpPr>
        <xdr:cNvPr id="75" name="TextBox 74">
          <a:extLst>
            <a:ext uri="{FF2B5EF4-FFF2-40B4-BE49-F238E27FC236}">
              <a16:creationId xmlns:a16="http://schemas.microsoft.com/office/drawing/2014/main" id="{31F2BC80-F026-4A94-91B1-782212C79919}"/>
            </a:ext>
          </a:extLst>
        </xdr:cNvPr>
        <xdr:cNvSpPr txBox="1"/>
      </xdr:nvSpPr>
      <xdr:spPr>
        <a:xfrm>
          <a:off x="12086455" y="2831759"/>
          <a:ext cx="617838" cy="319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bg1"/>
              </a:solidFill>
            </a:rPr>
            <a:t>55.0%</a:t>
          </a:r>
          <a:endParaRPr lang="en-NG" sz="1300" b="1">
            <a:solidFill>
              <a:schemeClr val="bg1"/>
            </a:solidFill>
          </a:endParaRPr>
        </a:p>
      </xdr:txBody>
    </xdr:sp>
    <xdr:clientData/>
  </xdr:twoCellAnchor>
  <xdr:twoCellAnchor>
    <xdr:from>
      <xdr:col>19</xdr:col>
      <xdr:colOff>330543</xdr:colOff>
      <xdr:row>11</xdr:row>
      <xdr:rowOff>111724</xdr:rowOff>
    </xdr:from>
    <xdr:to>
      <xdr:col>20</xdr:col>
      <xdr:colOff>176084</xdr:colOff>
      <xdr:row>12</xdr:row>
      <xdr:rowOff>163211</xdr:rowOff>
    </xdr:to>
    <xdr:sp macro="" textlink="">
      <xdr:nvSpPr>
        <xdr:cNvPr id="76" name="TextBox 75">
          <a:extLst>
            <a:ext uri="{FF2B5EF4-FFF2-40B4-BE49-F238E27FC236}">
              <a16:creationId xmlns:a16="http://schemas.microsoft.com/office/drawing/2014/main" id="{37DA1D88-55B2-4C2E-B95F-B346CA8BCC4A}"/>
            </a:ext>
          </a:extLst>
        </xdr:cNvPr>
        <xdr:cNvSpPr txBox="1"/>
      </xdr:nvSpPr>
      <xdr:spPr>
        <a:xfrm>
          <a:off x="11824901" y="2235542"/>
          <a:ext cx="4505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94</a:t>
          </a:r>
          <a:endParaRPr lang="en-NG" sz="1100" b="1">
            <a:solidFill>
              <a:schemeClr val="bg1"/>
            </a:solidFill>
          </a:endParaRPr>
        </a:p>
      </xdr:txBody>
    </xdr:sp>
    <xdr:clientData/>
  </xdr:twoCellAnchor>
  <xdr:twoCellAnchor>
    <xdr:from>
      <xdr:col>18</xdr:col>
      <xdr:colOff>71052</xdr:colOff>
      <xdr:row>11</xdr:row>
      <xdr:rowOff>122537</xdr:rowOff>
    </xdr:from>
    <xdr:to>
      <xdr:col>18</xdr:col>
      <xdr:colOff>521559</xdr:colOff>
      <xdr:row>12</xdr:row>
      <xdr:rowOff>174024</xdr:rowOff>
    </xdr:to>
    <xdr:sp macro="" textlink="">
      <xdr:nvSpPr>
        <xdr:cNvPr id="77" name="TextBox 76">
          <a:extLst>
            <a:ext uri="{FF2B5EF4-FFF2-40B4-BE49-F238E27FC236}">
              <a16:creationId xmlns:a16="http://schemas.microsoft.com/office/drawing/2014/main" id="{A689A53A-3E64-4131-B51E-2058792D622D}"/>
            </a:ext>
          </a:extLst>
        </xdr:cNvPr>
        <xdr:cNvSpPr txBox="1"/>
      </xdr:nvSpPr>
      <xdr:spPr>
        <a:xfrm>
          <a:off x="10960444" y="2246355"/>
          <a:ext cx="4505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54</a:t>
          </a:r>
          <a:endParaRPr lang="en-NG" sz="1100" b="1">
            <a:solidFill>
              <a:schemeClr val="bg1"/>
            </a:solidFill>
          </a:endParaRPr>
        </a:p>
      </xdr:txBody>
    </xdr:sp>
    <xdr:clientData/>
  </xdr:twoCellAnchor>
  <xdr:twoCellAnchor>
    <xdr:from>
      <xdr:col>17</xdr:col>
      <xdr:colOff>159094</xdr:colOff>
      <xdr:row>11</xdr:row>
      <xdr:rowOff>133349</xdr:rowOff>
    </xdr:from>
    <xdr:to>
      <xdr:col>18</xdr:col>
      <xdr:colOff>4635</xdr:colOff>
      <xdr:row>12</xdr:row>
      <xdr:rowOff>184836</xdr:rowOff>
    </xdr:to>
    <xdr:sp macro="" textlink="">
      <xdr:nvSpPr>
        <xdr:cNvPr id="78" name="TextBox 77">
          <a:extLst>
            <a:ext uri="{FF2B5EF4-FFF2-40B4-BE49-F238E27FC236}">
              <a16:creationId xmlns:a16="http://schemas.microsoft.com/office/drawing/2014/main" id="{22AFFF90-8A93-4778-9625-E6671753A97B}"/>
            </a:ext>
          </a:extLst>
        </xdr:cNvPr>
        <xdr:cNvSpPr txBox="1"/>
      </xdr:nvSpPr>
      <xdr:spPr>
        <a:xfrm>
          <a:off x="10443520" y="2257167"/>
          <a:ext cx="4505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6</a:t>
          </a:r>
          <a:endParaRPr lang="en-NG" sz="1100" b="1">
            <a:solidFill>
              <a:schemeClr val="bg1"/>
            </a:solidFill>
          </a:endParaRPr>
        </a:p>
      </xdr:txBody>
    </xdr:sp>
    <xdr:clientData/>
  </xdr:twoCellAnchor>
  <xdr:twoCellAnchor>
    <xdr:from>
      <xdr:col>20</xdr:col>
      <xdr:colOff>212640</xdr:colOff>
      <xdr:row>11</xdr:row>
      <xdr:rowOff>109665</xdr:rowOff>
    </xdr:from>
    <xdr:to>
      <xdr:col>20</xdr:col>
      <xdr:colOff>663147</xdr:colOff>
      <xdr:row>12</xdr:row>
      <xdr:rowOff>161152</xdr:rowOff>
    </xdr:to>
    <xdr:sp macro="" textlink="">
      <xdr:nvSpPr>
        <xdr:cNvPr id="79" name="TextBox 78">
          <a:extLst>
            <a:ext uri="{FF2B5EF4-FFF2-40B4-BE49-F238E27FC236}">
              <a16:creationId xmlns:a16="http://schemas.microsoft.com/office/drawing/2014/main" id="{8747BE81-6288-4480-9C7F-44EDD8AF298F}"/>
            </a:ext>
          </a:extLst>
        </xdr:cNvPr>
        <xdr:cNvSpPr txBox="1"/>
      </xdr:nvSpPr>
      <xdr:spPr>
        <a:xfrm>
          <a:off x="12311964" y="2233483"/>
          <a:ext cx="4505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171</a:t>
          </a:r>
          <a:endParaRPr lang="en-NG" sz="1100" b="1">
            <a:solidFill>
              <a:schemeClr val="bg1"/>
            </a:solidFill>
          </a:endParaRPr>
        </a:p>
      </xdr:txBody>
    </xdr:sp>
    <xdr:clientData/>
  </xdr:twoCellAnchor>
  <xdr:twoCellAnchor>
    <xdr:from>
      <xdr:col>11</xdr:col>
      <xdr:colOff>324697</xdr:colOff>
      <xdr:row>23</xdr:row>
      <xdr:rowOff>0</xdr:rowOff>
    </xdr:from>
    <xdr:to>
      <xdr:col>16</xdr:col>
      <xdr:colOff>357392</xdr:colOff>
      <xdr:row>33</xdr:row>
      <xdr:rowOff>88617</xdr:rowOff>
    </xdr:to>
    <xdr:graphicFrame macro="">
      <xdr:nvGraphicFramePr>
        <xdr:cNvPr id="80" name="Chart 79">
          <a:extLst>
            <a:ext uri="{FF2B5EF4-FFF2-40B4-BE49-F238E27FC236}">
              <a16:creationId xmlns:a16="http://schemas.microsoft.com/office/drawing/2014/main" id="{ABE89779-4EAB-4A75-A04D-9AB4C39A9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426978</xdr:colOff>
      <xdr:row>21</xdr:row>
      <xdr:rowOff>98535</xdr:rowOff>
    </xdr:from>
    <xdr:to>
      <xdr:col>13</xdr:col>
      <xdr:colOff>613098</xdr:colOff>
      <xdr:row>22</xdr:row>
      <xdr:rowOff>131379</xdr:rowOff>
    </xdr:to>
    <xdr:sp macro="" textlink="">
      <xdr:nvSpPr>
        <xdr:cNvPr id="81" name="TextBox 80">
          <a:extLst>
            <a:ext uri="{FF2B5EF4-FFF2-40B4-BE49-F238E27FC236}">
              <a16:creationId xmlns:a16="http://schemas.microsoft.com/office/drawing/2014/main" id="{F9655102-9F89-DB39-13C5-4F47590D6823}"/>
            </a:ext>
          </a:extLst>
        </xdr:cNvPr>
        <xdr:cNvSpPr txBox="1"/>
      </xdr:nvSpPr>
      <xdr:spPr>
        <a:xfrm>
          <a:off x="7171116" y="4007069"/>
          <a:ext cx="1412327" cy="218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D60093"/>
              </a:solidFill>
            </a:rPr>
            <a:t>Weekly</a:t>
          </a:r>
          <a:r>
            <a:rPr lang="en-US" sz="1100" b="1" baseline="0">
              <a:solidFill>
                <a:srgbClr val="D60093"/>
              </a:solidFill>
            </a:rPr>
            <a:t> Performance</a:t>
          </a:r>
          <a:endParaRPr lang="en-NG" sz="1100" b="1">
            <a:solidFill>
              <a:srgbClr val="D60093"/>
            </a:solidFill>
          </a:endParaRPr>
        </a:p>
      </xdr:txBody>
    </xdr:sp>
    <xdr:clientData/>
  </xdr:twoCellAnchor>
  <xdr:twoCellAnchor>
    <xdr:from>
      <xdr:col>11</xdr:col>
      <xdr:colOff>176150</xdr:colOff>
      <xdr:row>22</xdr:row>
      <xdr:rowOff>30926</xdr:rowOff>
    </xdr:from>
    <xdr:to>
      <xdr:col>11</xdr:col>
      <xdr:colOff>284150</xdr:colOff>
      <xdr:row>32</xdr:row>
      <xdr:rowOff>173547</xdr:rowOff>
    </xdr:to>
    <xdr:sp macro="" textlink="">
      <xdr:nvSpPr>
        <xdr:cNvPr id="84" name="Rectangle 83">
          <a:extLst>
            <a:ext uri="{FF2B5EF4-FFF2-40B4-BE49-F238E27FC236}">
              <a16:creationId xmlns:a16="http://schemas.microsoft.com/office/drawing/2014/main" id="{B11D2477-67C4-4407-8860-4581D4A7778B}"/>
            </a:ext>
          </a:extLst>
        </xdr:cNvPr>
        <xdr:cNvSpPr/>
      </xdr:nvSpPr>
      <xdr:spPr>
        <a:xfrm>
          <a:off x="6920288" y="4125581"/>
          <a:ext cx="108000" cy="200382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339516</xdr:colOff>
      <xdr:row>22</xdr:row>
      <xdr:rowOff>30052</xdr:rowOff>
    </xdr:from>
    <xdr:to>
      <xdr:col>16</xdr:col>
      <xdr:colOff>447516</xdr:colOff>
      <xdr:row>32</xdr:row>
      <xdr:rowOff>172673</xdr:rowOff>
    </xdr:to>
    <xdr:sp macro="" textlink="">
      <xdr:nvSpPr>
        <xdr:cNvPr id="85" name="Rectangle 84">
          <a:extLst>
            <a:ext uri="{FF2B5EF4-FFF2-40B4-BE49-F238E27FC236}">
              <a16:creationId xmlns:a16="http://schemas.microsoft.com/office/drawing/2014/main" id="{D4370A61-0F0F-4671-A273-7BAC1CC2F3D1}"/>
            </a:ext>
          </a:extLst>
        </xdr:cNvPr>
        <xdr:cNvSpPr/>
      </xdr:nvSpPr>
      <xdr:spPr>
        <a:xfrm>
          <a:off x="10149171" y="4124707"/>
          <a:ext cx="108000" cy="200382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339399</xdr:colOff>
      <xdr:row>24</xdr:row>
      <xdr:rowOff>21884</xdr:rowOff>
    </xdr:from>
    <xdr:to>
      <xdr:col>19</xdr:col>
      <xdr:colOff>21899</xdr:colOff>
      <xdr:row>33</xdr:row>
      <xdr:rowOff>186114</xdr:rowOff>
    </xdr:to>
    <xdr:graphicFrame macro="">
      <xdr:nvGraphicFramePr>
        <xdr:cNvPr id="87" name="Chart 86">
          <a:extLst>
            <a:ext uri="{FF2B5EF4-FFF2-40B4-BE49-F238E27FC236}">
              <a16:creationId xmlns:a16="http://schemas.microsoft.com/office/drawing/2014/main" id="{DD9FC8FF-B23E-4648-9EFB-FDE66991C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601166</xdr:colOff>
      <xdr:row>24</xdr:row>
      <xdr:rowOff>10945</xdr:rowOff>
    </xdr:from>
    <xdr:to>
      <xdr:col>21</xdr:col>
      <xdr:colOff>0</xdr:colOff>
      <xdr:row>33</xdr:row>
      <xdr:rowOff>175459</xdr:rowOff>
    </xdr:to>
    <xdr:graphicFrame macro="">
      <xdr:nvGraphicFramePr>
        <xdr:cNvPr id="88" name="Chart 87">
          <a:extLst>
            <a:ext uri="{FF2B5EF4-FFF2-40B4-BE49-F238E27FC236}">
              <a16:creationId xmlns:a16="http://schemas.microsoft.com/office/drawing/2014/main" id="{EAC37DAD-1B86-4B7F-B0D6-863F4097C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591207</xdr:colOff>
      <xdr:row>21</xdr:row>
      <xdr:rowOff>142329</xdr:rowOff>
    </xdr:from>
    <xdr:to>
      <xdr:col>19</xdr:col>
      <xdr:colOff>153275</xdr:colOff>
      <xdr:row>22</xdr:row>
      <xdr:rowOff>153277</xdr:rowOff>
    </xdr:to>
    <xdr:sp macro="" textlink="">
      <xdr:nvSpPr>
        <xdr:cNvPr id="89" name="TextBox 88">
          <a:extLst>
            <a:ext uri="{FF2B5EF4-FFF2-40B4-BE49-F238E27FC236}">
              <a16:creationId xmlns:a16="http://schemas.microsoft.com/office/drawing/2014/main" id="{2643B900-2B0A-A316-FFE4-0F86372A2C24}"/>
            </a:ext>
          </a:extLst>
        </xdr:cNvPr>
        <xdr:cNvSpPr txBox="1"/>
      </xdr:nvSpPr>
      <xdr:spPr>
        <a:xfrm>
          <a:off x="10400862" y="4050863"/>
          <a:ext cx="1401379" cy="19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Weekly</a:t>
          </a:r>
          <a:r>
            <a:rPr lang="en-US" sz="1100" b="1" baseline="0"/>
            <a:t> Distribution</a:t>
          </a:r>
          <a:endParaRPr lang="en-NG" sz="1100" b="1"/>
        </a:p>
      </xdr:txBody>
    </xdr:sp>
    <xdr:clientData/>
  </xdr:twoCellAnchor>
  <xdr:twoCellAnchor>
    <xdr:from>
      <xdr:col>17</xdr:col>
      <xdr:colOff>208014</xdr:colOff>
      <xdr:row>23</xdr:row>
      <xdr:rowOff>98534</xdr:rowOff>
    </xdr:from>
    <xdr:to>
      <xdr:col>18</xdr:col>
      <xdr:colOff>229911</xdr:colOff>
      <xdr:row>24</xdr:row>
      <xdr:rowOff>98533</xdr:rowOff>
    </xdr:to>
    <xdr:sp macro="" textlink="">
      <xdr:nvSpPr>
        <xdr:cNvPr id="90" name="TextBox 89">
          <a:extLst>
            <a:ext uri="{FF2B5EF4-FFF2-40B4-BE49-F238E27FC236}">
              <a16:creationId xmlns:a16="http://schemas.microsoft.com/office/drawing/2014/main" id="{3BF2DB28-7FB8-4DD1-56E7-B32FC5584142}"/>
            </a:ext>
          </a:extLst>
        </xdr:cNvPr>
        <xdr:cNvSpPr txBox="1"/>
      </xdr:nvSpPr>
      <xdr:spPr>
        <a:xfrm>
          <a:off x="10630773" y="4379310"/>
          <a:ext cx="635000" cy="186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Clients</a:t>
          </a:r>
          <a:endParaRPr lang="en-NG" sz="1100" b="1"/>
        </a:p>
      </xdr:txBody>
    </xdr:sp>
    <xdr:clientData/>
  </xdr:twoCellAnchor>
  <xdr:twoCellAnchor>
    <xdr:from>
      <xdr:col>19</xdr:col>
      <xdr:colOff>130503</xdr:colOff>
      <xdr:row>23</xdr:row>
      <xdr:rowOff>98534</xdr:rowOff>
    </xdr:from>
    <xdr:to>
      <xdr:col>20</xdr:col>
      <xdr:colOff>153276</xdr:colOff>
      <xdr:row>24</xdr:row>
      <xdr:rowOff>97657</xdr:rowOff>
    </xdr:to>
    <xdr:sp macro="" textlink="">
      <xdr:nvSpPr>
        <xdr:cNvPr id="91" name="TextBox 90">
          <a:extLst>
            <a:ext uri="{FF2B5EF4-FFF2-40B4-BE49-F238E27FC236}">
              <a16:creationId xmlns:a16="http://schemas.microsoft.com/office/drawing/2014/main" id="{CC4E8940-B2ED-4246-9703-8A79BD9FD30F}"/>
            </a:ext>
          </a:extLst>
        </xdr:cNvPr>
        <xdr:cNvSpPr txBox="1"/>
      </xdr:nvSpPr>
      <xdr:spPr>
        <a:xfrm>
          <a:off x="11779469" y="4379310"/>
          <a:ext cx="635876" cy="18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Leads</a:t>
          </a:r>
          <a:endParaRPr lang="en-NG" sz="1100" b="1"/>
        </a:p>
      </xdr:txBody>
    </xdr:sp>
    <xdr:clientData/>
  </xdr:twoCellAnchor>
  <xdr:twoCellAnchor editAs="oneCell">
    <xdr:from>
      <xdr:col>6</xdr:col>
      <xdr:colOff>427265</xdr:colOff>
      <xdr:row>10</xdr:row>
      <xdr:rowOff>1311</xdr:rowOff>
    </xdr:from>
    <xdr:to>
      <xdr:col>7</xdr:col>
      <xdr:colOff>167870</xdr:colOff>
      <xdr:row>11</xdr:row>
      <xdr:rowOff>173026</xdr:rowOff>
    </xdr:to>
    <xdr:pic>
      <xdr:nvPicPr>
        <xdr:cNvPr id="83" name="Graphic 82" descr="Female Profile with solid fill">
          <a:extLst>
            <a:ext uri="{FF2B5EF4-FFF2-40B4-BE49-F238E27FC236}">
              <a16:creationId xmlns:a16="http://schemas.microsoft.com/office/drawing/2014/main" id="{CB1410F5-E293-D562-A134-F78C165FCB8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82207" y="1884160"/>
          <a:ext cx="349762" cy="360000"/>
        </a:xfrm>
        <a:prstGeom prst="rect">
          <a:avLst/>
        </a:prstGeom>
      </xdr:spPr>
    </xdr:pic>
    <xdr:clientData/>
  </xdr:twoCellAnchor>
  <xdr:twoCellAnchor editAs="oneCell">
    <xdr:from>
      <xdr:col>6</xdr:col>
      <xdr:colOff>429711</xdr:colOff>
      <xdr:row>13</xdr:row>
      <xdr:rowOff>55390</xdr:rowOff>
    </xdr:from>
    <xdr:to>
      <xdr:col>7</xdr:col>
      <xdr:colOff>170317</xdr:colOff>
      <xdr:row>15</xdr:row>
      <xdr:rowOff>38820</xdr:rowOff>
    </xdr:to>
    <xdr:pic>
      <xdr:nvPicPr>
        <xdr:cNvPr id="92" name="Graphic 91" descr="Male profile with solid fill">
          <a:extLst>
            <a:ext uri="{FF2B5EF4-FFF2-40B4-BE49-F238E27FC236}">
              <a16:creationId xmlns:a16="http://schemas.microsoft.com/office/drawing/2014/main" id="{6109B1B7-0B09-4BED-E831-82095415D45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084653" y="2503093"/>
          <a:ext cx="349763" cy="360000"/>
        </a:xfrm>
        <a:prstGeom prst="rect">
          <a:avLst/>
        </a:prstGeom>
      </xdr:spPr>
    </xdr:pic>
    <xdr:clientData/>
  </xdr:twoCellAnchor>
  <xdr:twoCellAnchor editAs="oneCell">
    <xdr:from>
      <xdr:col>7</xdr:col>
      <xdr:colOff>57747</xdr:colOff>
      <xdr:row>22</xdr:row>
      <xdr:rowOff>180873</xdr:rowOff>
    </xdr:from>
    <xdr:to>
      <xdr:col>8</xdr:col>
      <xdr:colOff>313992</xdr:colOff>
      <xdr:row>26</xdr:row>
      <xdr:rowOff>147733</xdr:rowOff>
    </xdr:to>
    <xdr:pic>
      <xdr:nvPicPr>
        <xdr:cNvPr id="93" name="Picture 92">
          <a:extLst>
            <a:ext uri="{FF2B5EF4-FFF2-40B4-BE49-F238E27FC236}">
              <a16:creationId xmlns:a16="http://schemas.microsoft.com/office/drawing/2014/main" id="{1FBB5525-10A8-8EAC-0499-E77246208C76}"/>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backgroundRemoval t="5500" b="93500" l="4500" r="96500">
                      <a14:foregroundMark x1="9000" y1="44500" x2="8500" y2="65000"/>
                      <a14:foregroundMark x1="21000" y1="11000" x2="22500" y2="5500"/>
                      <a14:foregroundMark x1="14500" y1="88000" x2="49000" y2="90500"/>
                      <a14:foregroundMark x1="63500" y1="90500" x2="91500" y2="68000"/>
                      <a14:foregroundMark x1="94000" y1="87000" x2="96500" y2="85000"/>
                      <a14:foregroundMark x1="14500" y1="93500" x2="40000" y2="93000"/>
                      <a14:foregroundMark x1="6000" y1="52000" x2="4500" y2="64500"/>
                    </a14:backgroundRemoval>
                  </a14:imgEffect>
                </a14:imgLayer>
              </a14:imgProps>
            </a:ext>
          </a:extLst>
        </a:blip>
        <a:stretch>
          <a:fillRect/>
        </a:stretch>
      </xdr:blipFill>
      <xdr:spPr>
        <a:xfrm>
          <a:off x="4343997" y="4457404"/>
          <a:ext cx="868566" cy="744411"/>
        </a:xfrm>
        <a:prstGeom prst="rect">
          <a:avLst/>
        </a:prstGeom>
        <a:ln>
          <a:noFill/>
        </a:ln>
      </xdr:spPr>
    </xdr:pic>
    <xdr:clientData/>
  </xdr:twoCellAnchor>
  <xdr:twoCellAnchor editAs="oneCell">
    <xdr:from>
      <xdr:col>9</xdr:col>
      <xdr:colOff>67586</xdr:colOff>
      <xdr:row>22</xdr:row>
      <xdr:rowOff>171734</xdr:rowOff>
    </xdr:from>
    <xdr:to>
      <xdr:col>10</xdr:col>
      <xdr:colOff>524846</xdr:colOff>
      <xdr:row>27</xdr:row>
      <xdr:rowOff>116623</xdr:rowOff>
    </xdr:to>
    <xdr:pic>
      <xdr:nvPicPr>
        <xdr:cNvPr id="94" name="Picture 93">
          <a:extLst>
            <a:ext uri="{FF2B5EF4-FFF2-40B4-BE49-F238E27FC236}">
              <a16:creationId xmlns:a16="http://schemas.microsoft.com/office/drawing/2014/main" id="{4BA35CA2-DDDC-D864-149F-918CAB85F75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10000" b="90000" l="3500" r="96500">
                      <a14:foregroundMark x1="89000" y1="48500" x2="91500" y2="47000"/>
                      <a14:foregroundMark x1="90500" y1="56500" x2="96500" y2="56000"/>
                      <a14:foregroundMark x1="3500" y1="55000" x2="10000" y2="53000"/>
                    </a14:backgroundRemoval>
                  </a14:imgEffect>
                </a14:imgLayer>
              </a14:imgProps>
            </a:ext>
          </a:extLst>
        </a:blip>
        <a:stretch>
          <a:fillRect/>
        </a:stretch>
      </xdr:blipFill>
      <xdr:spPr>
        <a:xfrm>
          <a:off x="5578479" y="4448265"/>
          <a:ext cx="1069581" cy="916827"/>
        </a:xfrm>
        <a:prstGeom prst="rect">
          <a:avLst/>
        </a:prstGeom>
        <a:ln>
          <a:noFill/>
        </a:ln>
      </xdr:spPr>
    </xdr:pic>
    <xdr:clientData/>
  </xdr:twoCellAnchor>
  <xdr:twoCellAnchor>
    <xdr:from>
      <xdr:col>6</xdr:col>
      <xdr:colOff>544293</xdr:colOff>
      <xdr:row>26</xdr:row>
      <xdr:rowOff>194380</xdr:rowOff>
    </xdr:from>
    <xdr:to>
      <xdr:col>8</xdr:col>
      <xdr:colOff>505416</xdr:colOff>
      <xdr:row>28</xdr:row>
      <xdr:rowOff>29151</xdr:rowOff>
    </xdr:to>
    <xdr:sp macro="" textlink="">
      <xdr:nvSpPr>
        <xdr:cNvPr id="82" name="TextBox 81">
          <a:extLst>
            <a:ext uri="{FF2B5EF4-FFF2-40B4-BE49-F238E27FC236}">
              <a16:creationId xmlns:a16="http://schemas.microsoft.com/office/drawing/2014/main" id="{5ABA8E48-FF17-2699-871B-4728964AE8B5}"/>
            </a:ext>
          </a:extLst>
        </xdr:cNvPr>
        <xdr:cNvSpPr txBox="1"/>
      </xdr:nvSpPr>
      <xdr:spPr>
        <a:xfrm>
          <a:off x="4218222" y="5248462"/>
          <a:ext cx="1185765" cy="223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rPr>
            <a:t>PORT HARCOURT</a:t>
          </a:r>
          <a:endParaRPr lang="en-NG" sz="1100" b="1">
            <a:solidFill>
              <a:schemeClr val="tx2">
                <a:lumMod val="90000"/>
                <a:lumOff val="10000"/>
              </a:schemeClr>
            </a:solidFill>
          </a:endParaRPr>
        </a:p>
      </xdr:txBody>
    </xdr:sp>
    <xdr:clientData/>
  </xdr:twoCellAnchor>
  <xdr:twoCellAnchor>
    <xdr:from>
      <xdr:col>9</xdr:col>
      <xdr:colOff>152399</xdr:colOff>
      <xdr:row>27</xdr:row>
      <xdr:rowOff>16326</xdr:rowOff>
    </xdr:from>
    <xdr:to>
      <xdr:col>10</xdr:col>
      <xdr:colOff>288471</xdr:colOff>
      <xdr:row>27</xdr:row>
      <xdr:rowOff>194380</xdr:rowOff>
    </xdr:to>
    <xdr:sp macro="" textlink="">
      <xdr:nvSpPr>
        <xdr:cNvPr id="86" name="TextBox 85">
          <a:extLst>
            <a:ext uri="{FF2B5EF4-FFF2-40B4-BE49-F238E27FC236}">
              <a16:creationId xmlns:a16="http://schemas.microsoft.com/office/drawing/2014/main" id="{6EE850A7-C203-4166-8181-221FFAD47220}"/>
            </a:ext>
          </a:extLst>
        </xdr:cNvPr>
        <xdr:cNvSpPr txBox="1"/>
      </xdr:nvSpPr>
      <xdr:spPr>
        <a:xfrm>
          <a:off x="5663292" y="5264795"/>
          <a:ext cx="748393" cy="178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rPr>
            <a:t>LAGOS</a:t>
          </a:r>
          <a:endParaRPr lang="en-NG" sz="1100" b="1">
            <a:solidFill>
              <a:schemeClr val="tx2">
                <a:lumMod val="90000"/>
                <a:lumOff val="10000"/>
              </a:schemeClr>
            </a:solidFill>
          </a:endParaRPr>
        </a:p>
      </xdr:txBody>
    </xdr:sp>
    <xdr:clientData/>
  </xdr:twoCellAnchor>
  <xdr:twoCellAnchor>
    <xdr:from>
      <xdr:col>6</xdr:col>
      <xdr:colOff>534574</xdr:colOff>
      <xdr:row>28</xdr:row>
      <xdr:rowOff>58313</xdr:rowOff>
    </xdr:from>
    <xdr:to>
      <xdr:col>8</xdr:col>
      <xdr:colOff>379063</xdr:colOff>
      <xdr:row>29</xdr:row>
      <xdr:rowOff>68031</xdr:rowOff>
    </xdr:to>
    <xdr:sp macro="" textlink="">
      <xdr:nvSpPr>
        <xdr:cNvPr id="95" name="TextBox 94">
          <a:extLst>
            <a:ext uri="{FF2B5EF4-FFF2-40B4-BE49-F238E27FC236}">
              <a16:creationId xmlns:a16="http://schemas.microsoft.com/office/drawing/2014/main" id="{DD91F49F-A4E1-4D07-B34F-75F1451677A0}"/>
            </a:ext>
          </a:extLst>
        </xdr:cNvPr>
        <xdr:cNvSpPr txBox="1"/>
      </xdr:nvSpPr>
      <xdr:spPr>
        <a:xfrm>
          <a:off x="4208503" y="5501170"/>
          <a:ext cx="1069131" cy="204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rPr>
            <a:t>Coversion Rate</a:t>
          </a:r>
          <a:endParaRPr lang="en-NG" sz="1100" b="1">
            <a:solidFill>
              <a:schemeClr val="tx2">
                <a:lumMod val="90000"/>
                <a:lumOff val="10000"/>
              </a:schemeClr>
            </a:solidFill>
          </a:endParaRPr>
        </a:p>
      </xdr:txBody>
    </xdr:sp>
    <xdr:clientData/>
  </xdr:twoCellAnchor>
  <xdr:twoCellAnchor>
    <xdr:from>
      <xdr:col>9</xdr:col>
      <xdr:colOff>162115</xdr:colOff>
      <xdr:row>28</xdr:row>
      <xdr:rowOff>55204</xdr:rowOff>
    </xdr:from>
    <xdr:to>
      <xdr:col>11</xdr:col>
      <xdr:colOff>9720</xdr:colOff>
      <xdr:row>29</xdr:row>
      <xdr:rowOff>68031</xdr:rowOff>
    </xdr:to>
    <xdr:sp macro="" textlink="">
      <xdr:nvSpPr>
        <xdr:cNvPr id="96" name="TextBox 95">
          <a:extLst>
            <a:ext uri="{FF2B5EF4-FFF2-40B4-BE49-F238E27FC236}">
              <a16:creationId xmlns:a16="http://schemas.microsoft.com/office/drawing/2014/main" id="{8A8373EC-35A1-476F-B94E-B34AB9F2A11B}"/>
            </a:ext>
          </a:extLst>
        </xdr:cNvPr>
        <xdr:cNvSpPr txBox="1"/>
      </xdr:nvSpPr>
      <xdr:spPr>
        <a:xfrm>
          <a:off x="5673008" y="5498061"/>
          <a:ext cx="1072248" cy="207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rPr>
            <a:t>Coversion Rate</a:t>
          </a:r>
          <a:endParaRPr lang="en-NG" sz="1100" b="1">
            <a:solidFill>
              <a:schemeClr val="tx2">
                <a:lumMod val="90000"/>
                <a:lumOff val="10000"/>
              </a:schemeClr>
            </a:solidFill>
          </a:endParaRPr>
        </a:p>
      </xdr:txBody>
    </xdr:sp>
    <xdr:clientData/>
  </xdr:twoCellAnchor>
  <xdr:twoCellAnchor>
    <xdr:from>
      <xdr:col>7</xdr:col>
      <xdr:colOff>19439</xdr:colOff>
      <xdr:row>21</xdr:row>
      <xdr:rowOff>97200</xdr:rowOff>
    </xdr:from>
    <xdr:to>
      <xdr:col>8</xdr:col>
      <xdr:colOff>87475</xdr:colOff>
      <xdr:row>22</xdr:row>
      <xdr:rowOff>136076</xdr:rowOff>
    </xdr:to>
    <xdr:sp macro="" textlink="">
      <xdr:nvSpPr>
        <xdr:cNvPr id="97" name="TextBox 96">
          <a:extLst>
            <a:ext uri="{FF2B5EF4-FFF2-40B4-BE49-F238E27FC236}">
              <a16:creationId xmlns:a16="http://schemas.microsoft.com/office/drawing/2014/main" id="{1C1CDAC8-B290-709D-1349-A7B27D4394AD}"/>
            </a:ext>
          </a:extLst>
        </xdr:cNvPr>
        <xdr:cNvSpPr txBox="1"/>
      </xdr:nvSpPr>
      <xdr:spPr>
        <a:xfrm>
          <a:off x="4305689" y="4179343"/>
          <a:ext cx="680357" cy="233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solidFill>
            </a:rPr>
            <a:t>State</a:t>
          </a:r>
          <a:endParaRPr lang="en-NG" sz="1100" b="1">
            <a:solidFill>
              <a:schemeClr val="accent2"/>
            </a:solidFill>
          </a:endParaRPr>
        </a:p>
      </xdr:txBody>
    </xdr:sp>
    <xdr:clientData/>
  </xdr:twoCellAnchor>
  <xdr:twoCellAnchor>
    <xdr:from>
      <xdr:col>7</xdr:col>
      <xdr:colOff>437382</xdr:colOff>
      <xdr:row>29</xdr:row>
      <xdr:rowOff>87477</xdr:rowOff>
    </xdr:from>
    <xdr:to>
      <xdr:col>8</xdr:col>
      <xdr:colOff>408214</xdr:colOff>
      <xdr:row>30</xdr:row>
      <xdr:rowOff>106915</xdr:rowOff>
    </xdr:to>
    <xdr:sp macro="" textlink="">
      <xdr:nvSpPr>
        <xdr:cNvPr id="98" name="TextBox 97">
          <a:extLst>
            <a:ext uri="{FF2B5EF4-FFF2-40B4-BE49-F238E27FC236}">
              <a16:creationId xmlns:a16="http://schemas.microsoft.com/office/drawing/2014/main" id="{B5CFC7B4-710F-B51D-DED8-EA912C2FD113}"/>
            </a:ext>
          </a:extLst>
        </xdr:cNvPr>
        <xdr:cNvSpPr txBox="1"/>
      </xdr:nvSpPr>
      <xdr:spPr>
        <a:xfrm>
          <a:off x="4723632" y="5724722"/>
          <a:ext cx="583153" cy="213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35.5%</a:t>
          </a:r>
          <a:endParaRPr lang="en-NG" sz="1100" b="1">
            <a:solidFill>
              <a:schemeClr val="bg1"/>
            </a:solidFill>
          </a:endParaRPr>
        </a:p>
      </xdr:txBody>
    </xdr:sp>
    <xdr:clientData/>
  </xdr:twoCellAnchor>
  <xdr:twoCellAnchor>
    <xdr:from>
      <xdr:col>10</xdr:col>
      <xdr:colOff>35762</xdr:colOff>
      <xdr:row>29</xdr:row>
      <xdr:rowOff>68037</xdr:rowOff>
    </xdr:from>
    <xdr:to>
      <xdr:col>10</xdr:col>
      <xdr:colOff>583163</xdr:colOff>
      <xdr:row>30</xdr:row>
      <xdr:rowOff>103811</xdr:rowOff>
    </xdr:to>
    <xdr:sp macro="" textlink="">
      <xdr:nvSpPr>
        <xdr:cNvPr id="99" name="TextBox 98">
          <a:extLst>
            <a:ext uri="{FF2B5EF4-FFF2-40B4-BE49-F238E27FC236}">
              <a16:creationId xmlns:a16="http://schemas.microsoft.com/office/drawing/2014/main" id="{0762F082-FC45-4A36-B1DA-E50503D7BAD2}"/>
            </a:ext>
          </a:extLst>
        </xdr:cNvPr>
        <xdr:cNvSpPr txBox="1"/>
      </xdr:nvSpPr>
      <xdr:spPr>
        <a:xfrm>
          <a:off x="6158976" y="5705282"/>
          <a:ext cx="547401" cy="230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50.8%</a:t>
          </a:r>
          <a:endParaRPr lang="en-NG" sz="1100" b="1">
            <a:solidFill>
              <a:schemeClr val="bg1"/>
            </a:solidFill>
          </a:endParaRPr>
        </a:p>
      </xdr:txBody>
    </xdr:sp>
    <xdr:clientData/>
  </xdr:twoCellAnchor>
  <xdr:twoCellAnchor>
    <xdr:from>
      <xdr:col>7</xdr:col>
      <xdr:colOff>97194</xdr:colOff>
      <xdr:row>30</xdr:row>
      <xdr:rowOff>77759</xdr:rowOff>
    </xdr:from>
    <xdr:to>
      <xdr:col>7</xdr:col>
      <xdr:colOff>554005</xdr:colOff>
      <xdr:row>31</xdr:row>
      <xdr:rowOff>95772</xdr:rowOff>
    </xdr:to>
    <xdr:sp macro="" textlink="">
      <xdr:nvSpPr>
        <xdr:cNvPr id="100" name="TextBox 99">
          <a:extLst>
            <a:ext uri="{FF2B5EF4-FFF2-40B4-BE49-F238E27FC236}">
              <a16:creationId xmlns:a16="http://schemas.microsoft.com/office/drawing/2014/main" id="{AF43C3F7-9920-7796-29D4-AF3D4D484918}"/>
            </a:ext>
          </a:extLst>
        </xdr:cNvPr>
        <xdr:cNvSpPr txBox="1"/>
      </xdr:nvSpPr>
      <xdr:spPr>
        <a:xfrm>
          <a:off x="4383444" y="5909392"/>
          <a:ext cx="456811" cy="21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rPr>
            <a:t>Paid</a:t>
          </a:r>
          <a:endParaRPr lang="en-NG" sz="1100" b="1">
            <a:solidFill>
              <a:schemeClr val="tx2">
                <a:lumMod val="90000"/>
                <a:lumOff val="10000"/>
              </a:schemeClr>
            </a:solidFill>
          </a:endParaRPr>
        </a:p>
      </xdr:txBody>
    </xdr:sp>
    <xdr:clientData/>
  </xdr:twoCellAnchor>
  <xdr:twoCellAnchor>
    <xdr:from>
      <xdr:col>8</xdr:col>
      <xdr:colOff>113518</xdr:colOff>
      <xdr:row>30</xdr:row>
      <xdr:rowOff>68042</xdr:rowOff>
    </xdr:from>
    <xdr:to>
      <xdr:col>9</xdr:col>
      <xdr:colOff>38877</xdr:colOff>
      <xdr:row>31</xdr:row>
      <xdr:rowOff>84371</xdr:rowOff>
    </xdr:to>
    <xdr:sp macro="" textlink="">
      <xdr:nvSpPr>
        <xdr:cNvPr id="101" name="TextBox 100">
          <a:extLst>
            <a:ext uri="{FF2B5EF4-FFF2-40B4-BE49-F238E27FC236}">
              <a16:creationId xmlns:a16="http://schemas.microsoft.com/office/drawing/2014/main" id="{973AE05A-4308-44BB-9D5C-6D1EB9A11BB6}"/>
            </a:ext>
          </a:extLst>
        </xdr:cNvPr>
        <xdr:cNvSpPr txBox="1"/>
      </xdr:nvSpPr>
      <xdr:spPr>
        <a:xfrm>
          <a:off x="5012089" y="5899675"/>
          <a:ext cx="537681" cy="21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rPr>
            <a:t>Leads</a:t>
          </a:r>
          <a:endParaRPr lang="en-NG" sz="1100" b="1">
            <a:solidFill>
              <a:schemeClr val="tx2">
                <a:lumMod val="90000"/>
                <a:lumOff val="10000"/>
              </a:schemeClr>
            </a:solidFill>
          </a:endParaRPr>
        </a:p>
      </xdr:txBody>
    </xdr:sp>
    <xdr:clientData/>
  </xdr:twoCellAnchor>
  <xdr:twoCellAnchor>
    <xdr:from>
      <xdr:col>9</xdr:col>
      <xdr:colOff>324234</xdr:colOff>
      <xdr:row>30</xdr:row>
      <xdr:rowOff>77761</xdr:rowOff>
    </xdr:from>
    <xdr:to>
      <xdr:col>10</xdr:col>
      <xdr:colOff>168724</xdr:colOff>
      <xdr:row>31</xdr:row>
      <xdr:rowOff>90980</xdr:rowOff>
    </xdr:to>
    <xdr:sp macro="" textlink="">
      <xdr:nvSpPr>
        <xdr:cNvPr id="102" name="TextBox 101">
          <a:extLst>
            <a:ext uri="{FF2B5EF4-FFF2-40B4-BE49-F238E27FC236}">
              <a16:creationId xmlns:a16="http://schemas.microsoft.com/office/drawing/2014/main" id="{060CFD2B-4CA3-4ED0-A594-90A17A4190E9}"/>
            </a:ext>
          </a:extLst>
        </xdr:cNvPr>
        <xdr:cNvSpPr txBox="1"/>
      </xdr:nvSpPr>
      <xdr:spPr>
        <a:xfrm>
          <a:off x="5835127" y="5909394"/>
          <a:ext cx="456811" cy="207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rPr>
            <a:t>Paid</a:t>
          </a:r>
          <a:endParaRPr lang="en-NG" sz="1100" b="1">
            <a:solidFill>
              <a:schemeClr val="tx2">
                <a:lumMod val="90000"/>
                <a:lumOff val="10000"/>
              </a:schemeClr>
            </a:solidFill>
          </a:endParaRPr>
        </a:p>
      </xdr:txBody>
    </xdr:sp>
    <xdr:clientData/>
  </xdr:twoCellAnchor>
  <xdr:twoCellAnchor>
    <xdr:from>
      <xdr:col>10</xdr:col>
      <xdr:colOff>214211</xdr:colOff>
      <xdr:row>30</xdr:row>
      <xdr:rowOff>77760</xdr:rowOff>
    </xdr:from>
    <xdr:to>
      <xdr:col>11</xdr:col>
      <xdr:colOff>136071</xdr:colOff>
      <xdr:row>31</xdr:row>
      <xdr:rowOff>87872</xdr:rowOff>
    </xdr:to>
    <xdr:sp macro="" textlink="">
      <xdr:nvSpPr>
        <xdr:cNvPr id="103" name="TextBox 102">
          <a:extLst>
            <a:ext uri="{FF2B5EF4-FFF2-40B4-BE49-F238E27FC236}">
              <a16:creationId xmlns:a16="http://schemas.microsoft.com/office/drawing/2014/main" id="{DD2DEF71-E7A8-4170-8CF4-6DD07CAF78E7}"/>
            </a:ext>
          </a:extLst>
        </xdr:cNvPr>
        <xdr:cNvSpPr txBox="1"/>
      </xdr:nvSpPr>
      <xdr:spPr>
        <a:xfrm>
          <a:off x="6337425" y="5909393"/>
          <a:ext cx="534182" cy="20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rPr>
            <a:t>Leads</a:t>
          </a:r>
          <a:endParaRPr lang="en-NG" sz="1100" b="1">
            <a:solidFill>
              <a:schemeClr val="tx2">
                <a:lumMod val="90000"/>
                <a:lumOff val="10000"/>
              </a:schemeClr>
            </a:solidFill>
          </a:endParaRPr>
        </a:p>
      </xdr:txBody>
    </xdr:sp>
    <xdr:clientData/>
  </xdr:twoCellAnchor>
  <xdr:twoCellAnchor>
    <xdr:from>
      <xdr:col>7</xdr:col>
      <xdr:colOff>106134</xdr:colOff>
      <xdr:row>31</xdr:row>
      <xdr:rowOff>58323</xdr:rowOff>
    </xdr:from>
    <xdr:to>
      <xdr:col>7</xdr:col>
      <xdr:colOff>562945</xdr:colOff>
      <xdr:row>32</xdr:row>
      <xdr:rowOff>100064</xdr:rowOff>
    </xdr:to>
    <xdr:sp macro="" textlink="">
      <xdr:nvSpPr>
        <xdr:cNvPr id="104" name="TextBox 103">
          <a:extLst>
            <a:ext uri="{FF2B5EF4-FFF2-40B4-BE49-F238E27FC236}">
              <a16:creationId xmlns:a16="http://schemas.microsoft.com/office/drawing/2014/main" id="{624A51FD-3782-4ABB-B3C1-541096342FF4}"/>
            </a:ext>
          </a:extLst>
        </xdr:cNvPr>
        <xdr:cNvSpPr txBox="1"/>
      </xdr:nvSpPr>
      <xdr:spPr>
        <a:xfrm>
          <a:off x="4392384" y="6084343"/>
          <a:ext cx="456811" cy="236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33</a:t>
          </a:r>
          <a:endParaRPr lang="en-NG" sz="1100" b="1">
            <a:solidFill>
              <a:schemeClr val="bg1"/>
            </a:solidFill>
          </a:endParaRPr>
        </a:p>
      </xdr:txBody>
    </xdr:sp>
    <xdr:clientData/>
  </xdr:twoCellAnchor>
  <xdr:twoCellAnchor>
    <xdr:from>
      <xdr:col>8</xdr:col>
      <xdr:colOff>190499</xdr:colOff>
      <xdr:row>31</xdr:row>
      <xdr:rowOff>55465</xdr:rowOff>
    </xdr:from>
    <xdr:to>
      <xdr:col>9</xdr:col>
      <xdr:colOff>34988</xdr:colOff>
      <xdr:row>32</xdr:row>
      <xdr:rowOff>97206</xdr:rowOff>
    </xdr:to>
    <xdr:sp macro="" textlink="">
      <xdr:nvSpPr>
        <xdr:cNvPr id="105" name="TextBox 104">
          <a:extLst>
            <a:ext uri="{FF2B5EF4-FFF2-40B4-BE49-F238E27FC236}">
              <a16:creationId xmlns:a16="http://schemas.microsoft.com/office/drawing/2014/main" id="{645CDBA4-FA67-4B8F-9447-9F76EECD1D01}"/>
            </a:ext>
          </a:extLst>
        </xdr:cNvPr>
        <xdr:cNvSpPr txBox="1"/>
      </xdr:nvSpPr>
      <xdr:spPr>
        <a:xfrm>
          <a:off x="5089070" y="6081485"/>
          <a:ext cx="456811" cy="236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93</a:t>
          </a:r>
          <a:endParaRPr lang="en-NG" sz="1100" b="1">
            <a:solidFill>
              <a:schemeClr val="bg1"/>
            </a:solidFill>
          </a:endParaRPr>
        </a:p>
      </xdr:txBody>
    </xdr:sp>
    <xdr:clientData/>
  </xdr:twoCellAnchor>
  <xdr:twoCellAnchor>
    <xdr:from>
      <xdr:col>10</xdr:col>
      <xdr:colOff>265131</xdr:colOff>
      <xdr:row>31</xdr:row>
      <xdr:rowOff>65179</xdr:rowOff>
    </xdr:from>
    <xdr:to>
      <xdr:col>11</xdr:col>
      <xdr:colOff>109620</xdr:colOff>
      <xdr:row>32</xdr:row>
      <xdr:rowOff>106920</xdr:rowOff>
    </xdr:to>
    <xdr:sp macro="" textlink="">
      <xdr:nvSpPr>
        <xdr:cNvPr id="106" name="TextBox 105">
          <a:extLst>
            <a:ext uri="{FF2B5EF4-FFF2-40B4-BE49-F238E27FC236}">
              <a16:creationId xmlns:a16="http://schemas.microsoft.com/office/drawing/2014/main" id="{8CC97397-AB6C-4F42-A90E-D6D4C1429BB4}"/>
            </a:ext>
          </a:extLst>
        </xdr:cNvPr>
        <xdr:cNvSpPr txBox="1"/>
      </xdr:nvSpPr>
      <xdr:spPr>
        <a:xfrm>
          <a:off x="6388345" y="6091199"/>
          <a:ext cx="456811" cy="236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132</a:t>
          </a:r>
          <a:endParaRPr lang="en-NG" sz="1100" b="1">
            <a:solidFill>
              <a:schemeClr val="bg1"/>
            </a:solidFill>
          </a:endParaRPr>
        </a:p>
      </xdr:txBody>
    </xdr:sp>
    <xdr:clientData/>
  </xdr:twoCellAnchor>
  <xdr:twoCellAnchor>
    <xdr:from>
      <xdr:col>9</xdr:col>
      <xdr:colOff>349501</xdr:colOff>
      <xdr:row>31</xdr:row>
      <xdr:rowOff>64596</xdr:rowOff>
    </xdr:from>
    <xdr:to>
      <xdr:col>10</xdr:col>
      <xdr:colOff>193991</xdr:colOff>
      <xdr:row>32</xdr:row>
      <xdr:rowOff>77762</xdr:rowOff>
    </xdr:to>
    <xdr:sp macro="" textlink="">
      <xdr:nvSpPr>
        <xdr:cNvPr id="107" name="TextBox 106">
          <a:extLst>
            <a:ext uri="{FF2B5EF4-FFF2-40B4-BE49-F238E27FC236}">
              <a16:creationId xmlns:a16="http://schemas.microsoft.com/office/drawing/2014/main" id="{54460AF8-845C-42E8-B445-C8C0921FF213}"/>
            </a:ext>
          </a:extLst>
        </xdr:cNvPr>
        <xdr:cNvSpPr txBox="1"/>
      </xdr:nvSpPr>
      <xdr:spPr>
        <a:xfrm>
          <a:off x="5860394" y="6090616"/>
          <a:ext cx="456811" cy="207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67</a:t>
          </a:r>
          <a:endParaRPr lang="en-NG" sz="1100" b="1">
            <a:solidFill>
              <a:schemeClr val="bg1"/>
            </a:solidFill>
          </a:endParaRPr>
        </a:p>
      </xdr:txBody>
    </xdr:sp>
    <xdr:clientData/>
  </xdr:twoCellAnchor>
  <xdr:twoCellAnchor>
    <xdr:from>
      <xdr:col>6</xdr:col>
      <xdr:colOff>460211</xdr:colOff>
      <xdr:row>4</xdr:row>
      <xdr:rowOff>164498</xdr:rowOff>
    </xdr:from>
    <xdr:to>
      <xdr:col>7</xdr:col>
      <xdr:colOff>128440</xdr:colOff>
      <xdr:row>8</xdr:row>
      <xdr:rowOff>2572</xdr:rowOff>
    </xdr:to>
    <xdr:sp macro="" textlink="">
      <xdr:nvSpPr>
        <xdr:cNvPr id="110" name="Rectangle: Rounded Corners 109">
          <a:extLst>
            <a:ext uri="{FF2B5EF4-FFF2-40B4-BE49-F238E27FC236}">
              <a16:creationId xmlns:a16="http://schemas.microsoft.com/office/drawing/2014/main" id="{A1A82623-A13D-410F-8230-D9E4502B4D95}"/>
            </a:ext>
          </a:extLst>
        </xdr:cNvPr>
        <xdr:cNvSpPr/>
      </xdr:nvSpPr>
      <xdr:spPr>
        <a:xfrm>
          <a:off x="4120380" y="935060"/>
          <a:ext cx="278257" cy="608636"/>
        </a:xfrm>
        <a:prstGeom prst="roundRect">
          <a:avLst>
            <a:gd name="adj" fmla="val 7712"/>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FFFF00"/>
            </a:solidFill>
          </a:endParaRPr>
        </a:p>
      </xdr:txBody>
    </xdr:sp>
    <xdr:clientData/>
  </xdr:twoCellAnchor>
  <xdr:twoCellAnchor>
    <xdr:from>
      <xdr:col>11</xdr:col>
      <xdr:colOff>484160</xdr:colOff>
      <xdr:row>4</xdr:row>
      <xdr:rowOff>164498</xdr:rowOff>
    </xdr:from>
    <xdr:to>
      <xdr:col>16</xdr:col>
      <xdr:colOff>270226</xdr:colOff>
      <xdr:row>8</xdr:row>
      <xdr:rowOff>2572</xdr:rowOff>
    </xdr:to>
    <xdr:sp macro="" textlink="">
      <xdr:nvSpPr>
        <xdr:cNvPr id="111" name="Rectangle: Rounded Corners 110">
          <a:extLst>
            <a:ext uri="{FF2B5EF4-FFF2-40B4-BE49-F238E27FC236}">
              <a16:creationId xmlns:a16="http://schemas.microsoft.com/office/drawing/2014/main" id="{3BB40FB4-3001-4441-9E28-9A479D6AB1B3}"/>
            </a:ext>
          </a:extLst>
        </xdr:cNvPr>
        <xdr:cNvSpPr/>
      </xdr:nvSpPr>
      <xdr:spPr>
        <a:xfrm>
          <a:off x="7194469" y="935060"/>
          <a:ext cx="2836206" cy="608636"/>
        </a:xfrm>
        <a:prstGeom prst="roundRect">
          <a:avLst>
            <a:gd name="adj" fmla="val 7712"/>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484174</xdr:colOff>
      <xdr:row>4</xdr:row>
      <xdr:rowOff>164498</xdr:rowOff>
    </xdr:from>
    <xdr:to>
      <xdr:col>12</xdr:col>
      <xdr:colOff>152403</xdr:colOff>
      <xdr:row>8</xdr:row>
      <xdr:rowOff>2572</xdr:rowOff>
    </xdr:to>
    <xdr:sp macro="" textlink="">
      <xdr:nvSpPr>
        <xdr:cNvPr id="112" name="Rectangle: Rounded Corners 111">
          <a:extLst>
            <a:ext uri="{FF2B5EF4-FFF2-40B4-BE49-F238E27FC236}">
              <a16:creationId xmlns:a16="http://schemas.microsoft.com/office/drawing/2014/main" id="{694FD06F-568D-4C41-922B-671E2F216C9E}"/>
            </a:ext>
          </a:extLst>
        </xdr:cNvPr>
        <xdr:cNvSpPr/>
      </xdr:nvSpPr>
      <xdr:spPr>
        <a:xfrm>
          <a:off x="7194483" y="935060"/>
          <a:ext cx="278257" cy="608636"/>
        </a:xfrm>
        <a:prstGeom prst="roundRect">
          <a:avLst>
            <a:gd name="adj" fmla="val 7712"/>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486717</xdr:colOff>
      <xdr:row>4</xdr:row>
      <xdr:rowOff>164498</xdr:rowOff>
    </xdr:from>
    <xdr:to>
      <xdr:col>20</xdr:col>
      <xdr:colOff>882810</xdr:colOff>
      <xdr:row>8</xdr:row>
      <xdr:rowOff>2572</xdr:rowOff>
    </xdr:to>
    <xdr:sp macro="" textlink="">
      <xdr:nvSpPr>
        <xdr:cNvPr id="113" name="Rectangle: Rounded Corners 112">
          <a:extLst>
            <a:ext uri="{FF2B5EF4-FFF2-40B4-BE49-F238E27FC236}">
              <a16:creationId xmlns:a16="http://schemas.microsoft.com/office/drawing/2014/main" id="{CC404264-C7CA-4CF8-A53E-ABF38A779740}"/>
            </a:ext>
          </a:extLst>
        </xdr:cNvPr>
        <xdr:cNvSpPr/>
      </xdr:nvSpPr>
      <xdr:spPr>
        <a:xfrm>
          <a:off x="10247166" y="935060"/>
          <a:ext cx="2836206" cy="608636"/>
        </a:xfrm>
        <a:prstGeom prst="roundRect">
          <a:avLst>
            <a:gd name="adj" fmla="val 7712"/>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486731</xdr:colOff>
      <xdr:row>4</xdr:row>
      <xdr:rowOff>164498</xdr:rowOff>
    </xdr:from>
    <xdr:to>
      <xdr:col>17</xdr:col>
      <xdr:colOff>154959</xdr:colOff>
      <xdr:row>8</xdr:row>
      <xdr:rowOff>2572</xdr:rowOff>
    </xdr:to>
    <xdr:sp macro="" textlink="">
      <xdr:nvSpPr>
        <xdr:cNvPr id="114" name="Rectangle: Rounded Corners 113">
          <a:extLst>
            <a:ext uri="{FF2B5EF4-FFF2-40B4-BE49-F238E27FC236}">
              <a16:creationId xmlns:a16="http://schemas.microsoft.com/office/drawing/2014/main" id="{402F1653-2671-4EA3-8141-DB171F43E845}"/>
            </a:ext>
          </a:extLst>
        </xdr:cNvPr>
        <xdr:cNvSpPr/>
      </xdr:nvSpPr>
      <xdr:spPr>
        <a:xfrm>
          <a:off x="10247180" y="935060"/>
          <a:ext cx="278257" cy="608636"/>
        </a:xfrm>
        <a:prstGeom prst="roundRect">
          <a:avLst>
            <a:gd name="adj" fmla="val 7712"/>
          </a:avLst>
        </a:prstGeom>
        <a:solidFill>
          <a:srgbClr val="00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492303</xdr:colOff>
      <xdr:row>5</xdr:row>
      <xdr:rowOff>144269</xdr:rowOff>
    </xdr:from>
    <xdr:to>
      <xdr:col>11</xdr:col>
      <xdr:colOff>74916</xdr:colOff>
      <xdr:row>8</xdr:row>
      <xdr:rowOff>58650</xdr:rowOff>
    </xdr:to>
    <xdr:sp macro="" textlink="">
      <xdr:nvSpPr>
        <xdr:cNvPr id="115" name="TextBox 114">
          <a:extLst>
            <a:ext uri="{FF2B5EF4-FFF2-40B4-BE49-F238E27FC236}">
              <a16:creationId xmlns:a16="http://schemas.microsoft.com/office/drawing/2014/main" id="{74FA6F12-F90B-2AE8-00EB-383FFFF4DA20}"/>
            </a:ext>
          </a:extLst>
        </xdr:cNvPr>
        <xdr:cNvSpPr txBox="1"/>
      </xdr:nvSpPr>
      <xdr:spPr>
        <a:xfrm>
          <a:off x="5982556" y="1107471"/>
          <a:ext cx="802669" cy="49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700" b="1">
              <a:solidFill>
                <a:schemeClr val="bg1"/>
              </a:solidFill>
            </a:rPr>
            <a:t>225</a:t>
          </a:r>
          <a:endParaRPr lang="en-NG" sz="2700" b="1">
            <a:solidFill>
              <a:schemeClr val="bg1"/>
            </a:solidFill>
          </a:endParaRPr>
        </a:p>
      </xdr:txBody>
    </xdr:sp>
    <xdr:clientData/>
  </xdr:twoCellAnchor>
  <xdr:twoCellAnchor>
    <xdr:from>
      <xdr:col>14</xdr:col>
      <xdr:colOff>548373</xdr:colOff>
      <xdr:row>5</xdr:row>
      <xdr:rowOff>144269</xdr:rowOff>
    </xdr:from>
    <xdr:to>
      <xdr:col>16</xdr:col>
      <xdr:colOff>130986</xdr:colOff>
      <xdr:row>8</xdr:row>
      <xdr:rowOff>58650</xdr:rowOff>
    </xdr:to>
    <xdr:sp macro="" textlink="">
      <xdr:nvSpPr>
        <xdr:cNvPr id="117" name="TextBox 116">
          <a:extLst>
            <a:ext uri="{FF2B5EF4-FFF2-40B4-BE49-F238E27FC236}">
              <a16:creationId xmlns:a16="http://schemas.microsoft.com/office/drawing/2014/main" id="{5FB0A5AF-CA5D-4981-A72D-D683A7071616}"/>
            </a:ext>
          </a:extLst>
        </xdr:cNvPr>
        <xdr:cNvSpPr txBox="1"/>
      </xdr:nvSpPr>
      <xdr:spPr>
        <a:xfrm>
          <a:off x="9088766" y="1107471"/>
          <a:ext cx="802669" cy="49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700" b="1">
              <a:solidFill>
                <a:schemeClr val="bg1"/>
              </a:solidFill>
            </a:rPr>
            <a:t>125</a:t>
          </a:r>
          <a:endParaRPr lang="en-NG" sz="2700" b="1">
            <a:solidFill>
              <a:schemeClr val="bg1"/>
            </a:solidFill>
          </a:endParaRPr>
        </a:p>
      </xdr:txBody>
    </xdr:sp>
    <xdr:clientData/>
  </xdr:twoCellAnchor>
  <xdr:twoCellAnchor>
    <xdr:from>
      <xdr:col>19</xdr:col>
      <xdr:colOff>540224</xdr:colOff>
      <xdr:row>5</xdr:row>
      <xdr:rowOff>144269</xdr:rowOff>
    </xdr:from>
    <xdr:to>
      <xdr:col>20</xdr:col>
      <xdr:colOff>732865</xdr:colOff>
      <xdr:row>8</xdr:row>
      <xdr:rowOff>58650</xdr:rowOff>
    </xdr:to>
    <xdr:sp macro="" textlink="">
      <xdr:nvSpPr>
        <xdr:cNvPr id="118" name="TextBox 117">
          <a:extLst>
            <a:ext uri="{FF2B5EF4-FFF2-40B4-BE49-F238E27FC236}">
              <a16:creationId xmlns:a16="http://schemas.microsoft.com/office/drawing/2014/main" id="{0ECD1AA4-4E9E-48DC-A47A-4290D70AD7A0}"/>
            </a:ext>
          </a:extLst>
        </xdr:cNvPr>
        <xdr:cNvSpPr txBox="1"/>
      </xdr:nvSpPr>
      <xdr:spPr>
        <a:xfrm>
          <a:off x="12130758" y="1107471"/>
          <a:ext cx="802669" cy="49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700" b="1">
              <a:solidFill>
                <a:schemeClr val="bg1"/>
              </a:solidFill>
            </a:rPr>
            <a:t>100</a:t>
          </a:r>
          <a:endParaRPr lang="en-NG" sz="2700" b="1">
            <a:solidFill>
              <a:schemeClr val="bg1"/>
            </a:solidFill>
          </a:endParaRPr>
        </a:p>
      </xdr:txBody>
    </xdr:sp>
    <xdr:clientData/>
  </xdr:twoCellAnchor>
  <xdr:twoCellAnchor>
    <xdr:from>
      <xdr:col>9</xdr:col>
      <xdr:colOff>374578</xdr:colOff>
      <xdr:row>4</xdr:row>
      <xdr:rowOff>107024</xdr:rowOff>
    </xdr:from>
    <xdr:to>
      <xdr:col>11</xdr:col>
      <xdr:colOff>192640</xdr:colOff>
      <xdr:row>6</xdr:row>
      <xdr:rowOff>1</xdr:rowOff>
    </xdr:to>
    <xdr:sp macro="" textlink="">
      <xdr:nvSpPr>
        <xdr:cNvPr id="119" name="TextBox 118">
          <a:extLst>
            <a:ext uri="{FF2B5EF4-FFF2-40B4-BE49-F238E27FC236}">
              <a16:creationId xmlns:a16="http://schemas.microsoft.com/office/drawing/2014/main" id="{E49318F8-6C9D-195B-3A36-2173315CDA82}"/>
            </a:ext>
          </a:extLst>
        </xdr:cNvPr>
        <xdr:cNvSpPr txBox="1"/>
      </xdr:nvSpPr>
      <xdr:spPr>
        <a:xfrm>
          <a:off x="5864831" y="877586"/>
          <a:ext cx="1038118" cy="27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FF00"/>
              </a:solidFill>
            </a:rPr>
            <a:t>Total</a:t>
          </a:r>
          <a:r>
            <a:rPr lang="en-US" sz="1400" b="1" baseline="0">
              <a:solidFill>
                <a:srgbClr val="FFFF00"/>
              </a:solidFill>
            </a:rPr>
            <a:t> Leads</a:t>
          </a:r>
          <a:endParaRPr lang="en-NG" sz="1400" b="1">
            <a:solidFill>
              <a:srgbClr val="FFFF00"/>
            </a:solidFill>
          </a:endParaRPr>
        </a:p>
      </xdr:txBody>
    </xdr:sp>
    <xdr:clientData/>
  </xdr:twoCellAnchor>
  <xdr:twoCellAnchor>
    <xdr:from>
      <xdr:col>14</xdr:col>
      <xdr:colOff>160532</xdr:colOff>
      <xdr:row>4</xdr:row>
      <xdr:rowOff>98894</xdr:rowOff>
    </xdr:from>
    <xdr:to>
      <xdr:col>16</xdr:col>
      <xdr:colOff>312922</xdr:colOff>
      <xdr:row>5</xdr:row>
      <xdr:rowOff>184512</xdr:rowOff>
    </xdr:to>
    <xdr:sp macro="" textlink="">
      <xdr:nvSpPr>
        <xdr:cNvPr id="120" name="TextBox 119">
          <a:extLst>
            <a:ext uri="{FF2B5EF4-FFF2-40B4-BE49-F238E27FC236}">
              <a16:creationId xmlns:a16="http://schemas.microsoft.com/office/drawing/2014/main" id="{D7EE8EFB-9873-4E37-90D9-D58EAC886E2A}"/>
            </a:ext>
          </a:extLst>
        </xdr:cNvPr>
        <xdr:cNvSpPr txBox="1"/>
      </xdr:nvSpPr>
      <xdr:spPr>
        <a:xfrm>
          <a:off x="8700925" y="869456"/>
          <a:ext cx="1372446" cy="27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00"/>
              </a:solidFill>
            </a:rPr>
            <a:t>Total</a:t>
          </a:r>
          <a:r>
            <a:rPr lang="en-US" sz="1400" b="1" baseline="0">
              <a:solidFill>
                <a:srgbClr val="FF0000"/>
              </a:solidFill>
            </a:rPr>
            <a:t> Prospects</a:t>
          </a:r>
          <a:endParaRPr lang="en-NG" sz="1400" b="1">
            <a:solidFill>
              <a:srgbClr val="FF0000"/>
            </a:solidFill>
          </a:endParaRPr>
        </a:p>
      </xdr:txBody>
    </xdr:sp>
    <xdr:clientData/>
  </xdr:twoCellAnchor>
  <xdr:twoCellAnchor>
    <xdr:from>
      <xdr:col>19</xdr:col>
      <xdr:colOff>342472</xdr:colOff>
      <xdr:row>4</xdr:row>
      <xdr:rowOff>112163</xdr:rowOff>
    </xdr:from>
    <xdr:to>
      <xdr:col>20</xdr:col>
      <xdr:colOff>850591</xdr:colOff>
      <xdr:row>6</xdr:row>
      <xdr:rowOff>5140</xdr:rowOff>
    </xdr:to>
    <xdr:sp macro="" textlink="">
      <xdr:nvSpPr>
        <xdr:cNvPr id="121" name="TextBox 120">
          <a:extLst>
            <a:ext uri="{FF2B5EF4-FFF2-40B4-BE49-F238E27FC236}">
              <a16:creationId xmlns:a16="http://schemas.microsoft.com/office/drawing/2014/main" id="{5FA72738-B61F-4FF7-BD6B-8C1CB256DDF9}"/>
            </a:ext>
          </a:extLst>
        </xdr:cNvPr>
        <xdr:cNvSpPr txBox="1"/>
      </xdr:nvSpPr>
      <xdr:spPr>
        <a:xfrm>
          <a:off x="11933006" y="882725"/>
          <a:ext cx="1118147" cy="27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FFFF"/>
              </a:solidFill>
            </a:rPr>
            <a:t>Total</a:t>
          </a:r>
          <a:r>
            <a:rPr lang="en-US" sz="1400" b="1" baseline="0">
              <a:solidFill>
                <a:srgbClr val="00FFFF"/>
              </a:solidFill>
            </a:rPr>
            <a:t> Clients</a:t>
          </a:r>
          <a:endParaRPr lang="en-NG" sz="1400" b="1">
            <a:solidFill>
              <a:srgbClr val="00FFFF"/>
            </a:solidFill>
          </a:endParaRPr>
        </a:p>
      </xdr:txBody>
    </xdr:sp>
    <xdr:clientData/>
  </xdr:twoCellAnchor>
  <xdr:twoCellAnchor editAs="oneCell">
    <xdr:from>
      <xdr:col>6</xdr:col>
      <xdr:colOff>556504</xdr:colOff>
      <xdr:row>0</xdr:row>
      <xdr:rowOff>107022</xdr:rowOff>
    </xdr:from>
    <xdr:to>
      <xdr:col>9</xdr:col>
      <xdr:colOff>428078</xdr:colOff>
      <xdr:row>3</xdr:row>
      <xdr:rowOff>139130</xdr:rowOff>
    </xdr:to>
    <xdr:pic>
      <xdr:nvPicPr>
        <xdr:cNvPr id="124" name="Picture 123">
          <a:extLst>
            <a:ext uri="{FF2B5EF4-FFF2-40B4-BE49-F238E27FC236}">
              <a16:creationId xmlns:a16="http://schemas.microsoft.com/office/drawing/2014/main" id="{51183A78-BF36-885F-B42A-59E91F358D99}"/>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216673" y="107022"/>
          <a:ext cx="1701658" cy="610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246149</xdr:colOff>
      <xdr:row>1</xdr:row>
      <xdr:rowOff>64211</xdr:rowOff>
    </xdr:from>
    <xdr:to>
      <xdr:col>20</xdr:col>
      <xdr:colOff>706347</xdr:colOff>
      <xdr:row>2</xdr:row>
      <xdr:rowOff>192637</xdr:rowOff>
    </xdr:to>
    <xdr:sp macro="" textlink="">
      <xdr:nvSpPr>
        <xdr:cNvPr id="125" name="TextBox 124">
          <a:extLst>
            <a:ext uri="{FF2B5EF4-FFF2-40B4-BE49-F238E27FC236}">
              <a16:creationId xmlns:a16="http://schemas.microsoft.com/office/drawing/2014/main" id="{189170B3-DDEC-0851-9269-0EBF595ECC61}"/>
            </a:ext>
          </a:extLst>
        </xdr:cNvPr>
        <xdr:cNvSpPr txBox="1"/>
      </xdr:nvSpPr>
      <xdr:spPr>
        <a:xfrm>
          <a:off x="10006598" y="256851"/>
          <a:ext cx="2900311" cy="32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solidFill>
            </a:rPr>
            <a:t>Sales</a:t>
          </a:r>
          <a:r>
            <a:rPr lang="en-US" sz="1800" b="1" baseline="0">
              <a:solidFill>
                <a:schemeClr val="bg2"/>
              </a:solidFill>
            </a:rPr>
            <a:t> Report for August 2026</a:t>
          </a:r>
          <a:endParaRPr lang="en-NG" sz="1800" b="1">
            <a:solidFill>
              <a:schemeClr val="bg2"/>
            </a:solidFill>
          </a:endParaRPr>
        </a:p>
      </xdr:txBody>
    </xdr:sp>
    <xdr:clientData/>
  </xdr:twoCellAnchor>
</xdr:wsDr>
</file>

<file path=xl/drawings/drawing9.xml><?xml version="1.0" encoding="utf-8"?>
<c:userShapes xmlns:c="http://schemas.openxmlformats.org/drawingml/2006/chart">
  <cdr:relSizeAnchor xmlns:cdr="http://schemas.openxmlformats.org/drawingml/2006/chartDrawing">
    <cdr:from>
      <cdr:x>0.48639</cdr:x>
      <cdr:y>0.47234</cdr:y>
    </cdr:from>
    <cdr:to>
      <cdr:x>0.50887</cdr:x>
      <cdr:y>0.51238</cdr:y>
    </cdr:to>
    <cdr:sp macro="" textlink="">
      <cdr:nvSpPr>
        <cdr:cNvPr id="2" name="Flowchart: Connector 1">
          <a:extLst xmlns:a="http://schemas.openxmlformats.org/drawingml/2006/main">
            <a:ext uri="{FF2B5EF4-FFF2-40B4-BE49-F238E27FC236}">
              <a16:creationId xmlns:a16="http://schemas.microsoft.com/office/drawing/2014/main" id="{766C8F94-A87F-3086-583D-CB02F4AA0E57}"/>
            </a:ext>
          </a:extLst>
        </cdr:cNvPr>
        <cdr:cNvSpPr/>
      </cdr:nvSpPr>
      <cdr:spPr>
        <a:xfrm xmlns:a="http://schemas.openxmlformats.org/drawingml/2006/main">
          <a:off x="1390576" y="766045"/>
          <a:ext cx="64275" cy="64943"/>
        </a:xfrm>
        <a:prstGeom xmlns:a="http://schemas.openxmlformats.org/drawingml/2006/main" prst="flowChartConnector">
          <a:avLst/>
        </a:prstGeom>
        <a:solidFill xmlns:a="http://schemas.openxmlformats.org/drawingml/2006/main">
          <a:schemeClr val="accent5">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NG"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CHE" refreshedDate="46245.757395833331" createdVersion="8" refreshedVersion="8" minRefreshableVersion="3" recordCount="225" xr:uid="{85663781-2519-4CA8-BE06-659FBCCD28CC}">
  <cacheSource type="worksheet">
    <worksheetSource name="Data"/>
  </cacheSource>
  <cacheFields count="9">
    <cacheField name="Client ID" numFmtId="0">
      <sharedItems count="225">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haredItems>
    </cacheField>
    <cacheField name="Client Gender " numFmtId="0">
      <sharedItems count="2">
        <s v="Female"/>
        <s v="Male"/>
      </sharedItems>
    </cacheField>
    <cacheField name="Sales Person " numFmtId="0">
      <sharedItems count="6">
        <s v="Olumide"/>
        <s v="Ngozi"/>
        <s v="Ahmed"/>
        <s v="Funmi"/>
        <s v="Chukwudi"/>
        <s v="Chioma"/>
      </sharedItems>
    </cacheField>
    <cacheField name="Date Given " numFmtId="14">
      <sharedItems containsSemiMixedTypes="0" containsNonDate="0" containsDate="1" containsString="0" minDate="2023-08-01T00:00:00" maxDate="2023-09-01T00:00:00" count="31">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2T00:00:00"/>
        <d v="2023-08-26T00:00:00"/>
        <d v="2023-08-23T00:00:00"/>
        <d v="2023-08-27T00:00:00"/>
        <d v="2023-08-21T00:00:00"/>
        <d v="2023-08-24T00:00:00"/>
        <d v="2023-08-30T00:00:00"/>
        <d v="2023-08-29T00:00:00"/>
        <d v="2023-08-25T00:00:00"/>
        <d v="2023-08-28T00:00:00"/>
        <d v="2023-08-31T00:00:00"/>
      </sharedItems>
    </cacheField>
    <cacheField name="Sales" numFmtId="0">
      <sharedItems count="2">
        <s v="Paid"/>
        <s v="Not Paid"/>
      </sharedItems>
    </cacheField>
    <cacheField name="State       " numFmtId="0">
      <sharedItems count="2">
        <s v="Lagos"/>
        <s v="Rivers"/>
      </sharedItems>
    </cacheField>
    <cacheField name="Product" numFmtId="0">
      <sharedItems count="3">
        <s v="Residential"/>
        <s v="Commercial"/>
        <s v="Industrial"/>
      </sharedItems>
    </cacheField>
    <cacheField name="Inspection" numFmtId="0">
      <sharedItems count="2">
        <s v="Yes"/>
        <s v="No"/>
      </sharedItems>
    </cacheField>
    <cacheField name="Week of Month" numFmtId="0">
      <sharedItems count="5">
        <s v="Week 1"/>
        <s v="Week 2"/>
        <s v="Week 3"/>
        <s v="Week 4"/>
        <s v="Week 5"/>
      </sharedItems>
    </cacheField>
  </cacheFields>
  <extLst>
    <ext xmlns:x14="http://schemas.microsoft.com/office/spreadsheetml/2009/9/main" uri="{725AE2AE-9491-48be-B2B4-4EB974FC3084}">
      <x14:pivotCacheDefinition pivotCacheId="1960374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x v="0"/>
    <x v="0"/>
    <x v="0"/>
    <x v="0"/>
    <x v="0"/>
    <x v="0"/>
    <x v="0"/>
    <x v="0"/>
  </r>
  <r>
    <x v="1"/>
    <x v="1"/>
    <x v="1"/>
    <x v="1"/>
    <x v="1"/>
    <x v="0"/>
    <x v="1"/>
    <x v="1"/>
    <x v="0"/>
  </r>
  <r>
    <x v="2"/>
    <x v="0"/>
    <x v="2"/>
    <x v="2"/>
    <x v="1"/>
    <x v="1"/>
    <x v="1"/>
    <x v="0"/>
    <x v="0"/>
  </r>
  <r>
    <x v="3"/>
    <x v="0"/>
    <x v="3"/>
    <x v="3"/>
    <x v="1"/>
    <x v="1"/>
    <x v="0"/>
    <x v="0"/>
    <x v="0"/>
  </r>
  <r>
    <x v="4"/>
    <x v="1"/>
    <x v="4"/>
    <x v="4"/>
    <x v="0"/>
    <x v="0"/>
    <x v="0"/>
    <x v="0"/>
    <x v="0"/>
  </r>
  <r>
    <x v="5"/>
    <x v="0"/>
    <x v="5"/>
    <x v="5"/>
    <x v="1"/>
    <x v="0"/>
    <x v="1"/>
    <x v="1"/>
    <x v="0"/>
  </r>
  <r>
    <x v="6"/>
    <x v="0"/>
    <x v="0"/>
    <x v="6"/>
    <x v="1"/>
    <x v="1"/>
    <x v="1"/>
    <x v="0"/>
    <x v="1"/>
  </r>
  <r>
    <x v="7"/>
    <x v="1"/>
    <x v="1"/>
    <x v="7"/>
    <x v="0"/>
    <x v="0"/>
    <x v="0"/>
    <x v="0"/>
    <x v="1"/>
  </r>
  <r>
    <x v="8"/>
    <x v="0"/>
    <x v="2"/>
    <x v="8"/>
    <x v="1"/>
    <x v="0"/>
    <x v="2"/>
    <x v="1"/>
    <x v="1"/>
  </r>
  <r>
    <x v="9"/>
    <x v="1"/>
    <x v="3"/>
    <x v="9"/>
    <x v="0"/>
    <x v="1"/>
    <x v="1"/>
    <x v="0"/>
    <x v="1"/>
  </r>
  <r>
    <x v="10"/>
    <x v="0"/>
    <x v="4"/>
    <x v="10"/>
    <x v="1"/>
    <x v="0"/>
    <x v="1"/>
    <x v="0"/>
    <x v="1"/>
  </r>
  <r>
    <x v="11"/>
    <x v="1"/>
    <x v="5"/>
    <x v="11"/>
    <x v="0"/>
    <x v="0"/>
    <x v="0"/>
    <x v="0"/>
    <x v="1"/>
  </r>
  <r>
    <x v="12"/>
    <x v="0"/>
    <x v="0"/>
    <x v="12"/>
    <x v="1"/>
    <x v="1"/>
    <x v="1"/>
    <x v="0"/>
    <x v="1"/>
  </r>
  <r>
    <x v="13"/>
    <x v="1"/>
    <x v="3"/>
    <x v="13"/>
    <x v="0"/>
    <x v="0"/>
    <x v="0"/>
    <x v="0"/>
    <x v="2"/>
  </r>
  <r>
    <x v="14"/>
    <x v="0"/>
    <x v="4"/>
    <x v="14"/>
    <x v="1"/>
    <x v="1"/>
    <x v="0"/>
    <x v="1"/>
    <x v="2"/>
  </r>
  <r>
    <x v="15"/>
    <x v="1"/>
    <x v="5"/>
    <x v="15"/>
    <x v="1"/>
    <x v="0"/>
    <x v="2"/>
    <x v="1"/>
    <x v="2"/>
  </r>
  <r>
    <x v="16"/>
    <x v="0"/>
    <x v="1"/>
    <x v="16"/>
    <x v="0"/>
    <x v="1"/>
    <x v="1"/>
    <x v="0"/>
    <x v="2"/>
  </r>
  <r>
    <x v="17"/>
    <x v="0"/>
    <x v="2"/>
    <x v="17"/>
    <x v="1"/>
    <x v="0"/>
    <x v="1"/>
    <x v="0"/>
    <x v="2"/>
  </r>
  <r>
    <x v="18"/>
    <x v="1"/>
    <x v="3"/>
    <x v="18"/>
    <x v="0"/>
    <x v="0"/>
    <x v="0"/>
    <x v="0"/>
    <x v="2"/>
  </r>
  <r>
    <x v="19"/>
    <x v="0"/>
    <x v="4"/>
    <x v="19"/>
    <x v="1"/>
    <x v="1"/>
    <x v="1"/>
    <x v="0"/>
    <x v="2"/>
  </r>
  <r>
    <x v="20"/>
    <x v="1"/>
    <x v="5"/>
    <x v="4"/>
    <x v="0"/>
    <x v="0"/>
    <x v="0"/>
    <x v="0"/>
    <x v="0"/>
  </r>
  <r>
    <x v="21"/>
    <x v="0"/>
    <x v="0"/>
    <x v="7"/>
    <x v="1"/>
    <x v="1"/>
    <x v="1"/>
    <x v="1"/>
    <x v="1"/>
  </r>
  <r>
    <x v="22"/>
    <x v="1"/>
    <x v="1"/>
    <x v="11"/>
    <x v="1"/>
    <x v="0"/>
    <x v="0"/>
    <x v="0"/>
    <x v="1"/>
  </r>
  <r>
    <x v="23"/>
    <x v="0"/>
    <x v="2"/>
    <x v="14"/>
    <x v="0"/>
    <x v="1"/>
    <x v="1"/>
    <x v="0"/>
    <x v="2"/>
  </r>
  <r>
    <x v="24"/>
    <x v="0"/>
    <x v="3"/>
    <x v="17"/>
    <x v="1"/>
    <x v="1"/>
    <x v="0"/>
    <x v="0"/>
    <x v="2"/>
  </r>
  <r>
    <x v="25"/>
    <x v="1"/>
    <x v="4"/>
    <x v="20"/>
    <x v="0"/>
    <x v="0"/>
    <x v="0"/>
    <x v="0"/>
    <x v="3"/>
  </r>
  <r>
    <x v="26"/>
    <x v="0"/>
    <x v="5"/>
    <x v="21"/>
    <x v="1"/>
    <x v="0"/>
    <x v="1"/>
    <x v="1"/>
    <x v="3"/>
  </r>
  <r>
    <x v="27"/>
    <x v="0"/>
    <x v="0"/>
    <x v="0"/>
    <x v="1"/>
    <x v="1"/>
    <x v="1"/>
    <x v="0"/>
    <x v="0"/>
  </r>
  <r>
    <x v="28"/>
    <x v="1"/>
    <x v="1"/>
    <x v="3"/>
    <x v="0"/>
    <x v="0"/>
    <x v="0"/>
    <x v="0"/>
    <x v="0"/>
  </r>
  <r>
    <x v="29"/>
    <x v="0"/>
    <x v="2"/>
    <x v="6"/>
    <x v="1"/>
    <x v="0"/>
    <x v="2"/>
    <x v="1"/>
    <x v="1"/>
  </r>
  <r>
    <x v="30"/>
    <x v="1"/>
    <x v="3"/>
    <x v="9"/>
    <x v="0"/>
    <x v="1"/>
    <x v="1"/>
    <x v="0"/>
    <x v="1"/>
  </r>
  <r>
    <x v="31"/>
    <x v="0"/>
    <x v="4"/>
    <x v="12"/>
    <x v="1"/>
    <x v="0"/>
    <x v="1"/>
    <x v="0"/>
    <x v="1"/>
  </r>
  <r>
    <x v="32"/>
    <x v="1"/>
    <x v="5"/>
    <x v="15"/>
    <x v="0"/>
    <x v="0"/>
    <x v="0"/>
    <x v="0"/>
    <x v="2"/>
  </r>
  <r>
    <x v="33"/>
    <x v="0"/>
    <x v="0"/>
    <x v="18"/>
    <x v="1"/>
    <x v="1"/>
    <x v="1"/>
    <x v="0"/>
    <x v="2"/>
  </r>
  <r>
    <x v="34"/>
    <x v="1"/>
    <x v="3"/>
    <x v="22"/>
    <x v="0"/>
    <x v="0"/>
    <x v="0"/>
    <x v="0"/>
    <x v="3"/>
  </r>
  <r>
    <x v="35"/>
    <x v="0"/>
    <x v="4"/>
    <x v="23"/>
    <x v="1"/>
    <x v="1"/>
    <x v="0"/>
    <x v="1"/>
    <x v="3"/>
  </r>
  <r>
    <x v="36"/>
    <x v="1"/>
    <x v="5"/>
    <x v="1"/>
    <x v="1"/>
    <x v="0"/>
    <x v="2"/>
    <x v="1"/>
    <x v="0"/>
  </r>
  <r>
    <x v="37"/>
    <x v="0"/>
    <x v="1"/>
    <x v="5"/>
    <x v="0"/>
    <x v="1"/>
    <x v="1"/>
    <x v="0"/>
    <x v="0"/>
  </r>
  <r>
    <x v="38"/>
    <x v="0"/>
    <x v="2"/>
    <x v="8"/>
    <x v="1"/>
    <x v="0"/>
    <x v="1"/>
    <x v="0"/>
    <x v="1"/>
  </r>
  <r>
    <x v="39"/>
    <x v="1"/>
    <x v="3"/>
    <x v="13"/>
    <x v="0"/>
    <x v="0"/>
    <x v="0"/>
    <x v="0"/>
    <x v="2"/>
  </r>
  <r>
    <x v="40"/>
    <x v="1"/>
    <x v="5"/>
    <x v="2"/>
    <x v="0"/>
    <x v="0"/>
    <x v="0"/>
    <x v="0"/>
    <x v="0"/>
  </r>
  <r>
    <x v="41"/>
    <x v="0"/>
    <x v="0"/>
    <x v="5"/>
    <x v="1"/>
    <x v="1"/>
    <x v="1"/>
    <x v="1"/>
    <x v="0"/>
  </r>
  <r>
    <x v="42"/>
    <x v="1"/>
    <x v="1"/>
    <x v="8"/>
    <x v="1"/>
    <x v="0"/>
    <x v="0"/>
    <x v="0"/>
    <x v="1"/>
  </r>
  <r>
    <x v="43"/>
    <x v="0"/>
    <x v="2"/>
    <x v="11"/>
    <x v="0"/>
    <x v="1"/>
    <x v="1"/>
    <x v="0"/>
    <x v="1"/>
  </r>
  <r>
    <x v="44"/>
    <x v="0"/>
    <x v="3"/>
    <x v="14"/>
    <x v="1"/>
    <x v="1"/>
    <x v="0"/>
    <x v="0"/>
    <x v="2"/>
  </r>
  <r>
    <x v="45"/>
    <x v="1"/>
    <x v="4"/>
    <x v="17"/>
    <x v="0"/>
    <x v="0"/>
    <x v="0"/>
    <x v="0"/>
    <x v="2"/>
  </r>
  <r>
    <x v="46"/>
    <x v="0"/>
    <x v="5"/>
    <x v="24"/>
    <x v="1"/>
    <x v="0"/>
    <x v="1"/>
    <x v="1"/>
    <x v="3"/>
  </r>
  <r>
    <x v="47"/>
    <x v="0"/>
    <x v="0"/>
    <x v="25"/>
    <x v="1"/>
    <x v="1"/>
    <x v="1"/>
    <x v="0"/>
    <x v="3"/>
  </r>
  <r>
    <x v="48"/>
    <x v="1"/>
    <x v="1"/>
    <x v="23"/>
    <x v="0"/>
    <x v="0"/>
    <x v="0"/>
    <x v="0"/>
    <x v="3"/>
  </r>
  <r>
    <x v="49"/>
    <x v="0"/>
    <x v="2"/>
    <x v="26"/>
    <x v="1"/>
    <x v="0"/>
    <x v="2"/>
    <x v="1"/>
    <x v="4"/>
  </r>
  <r>
    <x v="50"/>
    <x v="1"/>
    <x v="3"/>
    <x v="1"/>
    <x v="0"/>
    <x v="1"/>
    <x v="1"/>
    <x v="0"/>
    <x v="0"/>
  </r>
  <r>
    <x v="51"/>
    <x v="0"/>
    <x v="4"/>
    <x v="4"/>
    <x v="1"/>
    <x v="0"/>
    <x v="1"/>
    <x v="0"/>
    <x v="0"/>
  </r>
  <r>
    <x v="52"/>
    <x v="1"/>
    <x v="5"/>
    <x v="7"/>
    <x v="0"/>
    <x v="0"/>
    <x v="0"/>
    <x v="0"/>
    <x v="1"/>
  </r>
  <r>
    <x v="53"/>
    <x v="0"/>
    <x v="0"/>
    <x v="10"/>
    <x v="1"/>
    <x v="1"/>
    <x v="1"/>
    <x v="0"/>
    <x v="1"/>
  </r>
  <r>
    <x v="54"/>
    <x v="1"/>
    <x v="3"/>
    <x v="13"/>
    <x v="0"/>
    <x v="0"/>
    <x v="0"/>
    <x v="0"/>
    <x v="2"/>
  </r>
  <r>
    <x v="55"/>
    <x v="0"/>
    <x v="4"/>
    <x v="16"/>
    <x v="1"/>
    <x v="1"/>
    <x v="0"/>
    <x v="1"/>
    <x v="2"/>
  </r>
  <r>
    <x v="56"/>
    <x v="1"/>
    <x v="5"/>
    <x v="19"/>
    <x v="1"/>
    <x v="0"/>
    <x v="2"/>
    <x v="1"/>
    <x v="2"/>
  </r>
  <r>
    <x v="57"/>
    <x v="0"/>
    <x v="1"/>
    <x v="22"/>
    <x v="0"/>
    <x v="1"/>
    <x v="1"/>
    <x v="0"/>
    <x v="3"/>
  </r>
  <r>
    <x v="58"/>
    <x v="0"/>
    <x v="2"/>
    <x v="21"/>
    <x v="1"/>
    <x v="0"/>
    <x v="1"/>
    <x v="0"/>
    <x v="3"/>
  </r>
  <r>
    <x v="59"/>
    <x v="1"/>
    <x v="3"/>
    <x v="27"/>
    <x v="0"/>
    <x v="0"/>
    <x v="0"/>
    <x v="0"/>
    <x v="4"/>
  </r>
  <r>
    <x v="60"/>
    <x v="0"/>
    <x v="5"/>
    <x v="3"/>
    <x v="1"/>
    <x v="1"/>
    <x v="1"/>
    <x v="1"/>
    <x v="0"/>
  </r>
  <r>
    <x v="61"/>
    <x v="0"/>
    <x v="0"/>
    <x v="6"/>
    <x v="1"/>
    <x v="1"/>
    <x v="1"/>
    <x v="0"/>
    <x v="1"/>
  </r>
  <r>
    <x v="62"/>
    <x v="1"/>
    <x v="1"/>
    <x v="9"/>
    <x v="0"/>
    <x v="0"/>
    <x v="0"/>
    <x v="0"/>
    <x v="1"/>
  </r>
  <r>
    <x v="63"/>
    <x v="0"/>
    <x v="2"/>
    <x v="12"/>
    <x v="1"/>
    <x v="0"/>
    <x v="2"/>
    <x v="1"/>
    <x v="1"/>
  </r>
  <r>
    <x v="64"/>
    <x v="1"/>
    <x v="3"/>
    <x v="15"/>
    <x v="0"/>
    <x v="1"/>
    <x v="1"/>
    <x v="0"/>
    <x v="2"/>
  </r>
  <r>
    <x v="65"/>
    <x v="0"/>
    <x v="4"/>
    <x v="18"/>
    <x v="1"/>
    <x v="0"/>
    <x v="1"/>
    <x v="0"/>
    <x v="2"/>
  </r>
  <r>
    <x v="66"/>
    <x v="1"/>
    <x v="5"/>
    <x v="20"/>
    <x v="0"/>
    <x v="0"/>
    <x v="0"/>
    <x v="0"/>
    <x v="3"/>
  </r>
  <r>
    <x v="67"/>
    <x v="0"/>
    <x v="0"/>
    <x v="28"/>
    <x v="1"/>
    <x v="1"/>
    <x v="1"/>
    <x v="0"/>
    <x v="3"/>
  </r>
  <r>
    <x v="68"/>
    <x v="1"/>
    <x v="3"/>
    <x v="29"/>
    <x v="0"/>
    <x v="0"/>
    <x v="0"/>
    <x v="0"/>
    <x v="4"/>
  </r>
  <r>
    <x v="69"/>
    <x v="0"/>
    <x v="4"/>
    <x v="0"/>
    <x v="1"/>
    <x v="1"/>
    <x v="0"/>
    <x v="1"/>
    <x v="0"/>
  </r>
  <r>
    <x v="70"/>
    <x v="1"/>
    <x v="5"/>
    <x v="2"/>
    <x v="0"/>
    <x v="0"/>
    <x v="0"/>
    <x v="0"/>
    <x v="0"/>
  </r>
  <r>
    <x v="71"/>
    <x v="0"/>
    <x v="0"/>
    <x v="5"/>
    <x v="1"/>
    <x v="1"/>
    <x v="1"/>
    <x v="1"/>
    <x v="0"/>
  </r>
  <r>
    <x v="72"/>
    <x v="1"/>
    <x v="1"/>
    <x v="8"/>
    <x v="1"/>
    <x v="0"/>
    <x v="0"/>
    <x v="0"/>
    <x v="1"/>
  </r>
  <r>
    <x v="73"/>
    <x v="0"/>
    <x v="2"/>
    <x v="11"/>
    <x v="0"/>
    <x v="1"/>
    <x v="1"/>
    <x v="0"/>
    <x v="1"/>
  </r>
  <r>
    <x v="74"/>
    <x v="0"/>
    <x v="3"/>
    <x v="14"/>
    <x v="1"/>
    <x v="1"/>
    <x v="0"/>
    <x v="0"/>
    <x v="2"/>
  </r>
  <r>
    <x v="75"/>
    <x v="1"/>
    <x v="4"/>
    <x v="17"/>
    <x v="0"/>
    <x v="0"/>
    <x v="0"/>
    <x v="0"/>
    <x v="2"/>
  </r>
  <r>
    <x v="76"/>
    <x v="0"/>
    <x v="5"/>
    <x v="24"/>
    <x v="1"/>
    <x v="0"/>
    <x v="1"/>
    <x v="1"/>
    <x v="3"/>
  </r>
  <r>
    <x v="77"/>
    <x v="0"/>
    <x v="0"/>
    <x v="25"/>
    <x v="1"/>
    <x v="1"/>
    <x v="1"/>
    <x v="0"/>
    <x v="3"/>
  </r>
  <r>
    <x v="78"/>
    <x v="1"/>
    <x v="1"/>
    <x v="23"/>
    <x v="0"/>
    <x v="0"/>
    <x v="0"/>
    <x v="0"/>
    <x v="3"/>
  </r>
  <r>
    <x v="79"/>
    <x v="0"/>
    <x v="2"/>
    <x v="26"/>
    <x v="1"/>
    <x v="0"/>
    <x v="2"/>
    <x v="1"/>
    <x v="4"/>
  </r>
  <r>
    <x v="80"/>
    <x v="1"/>
    <x v="3"/>
    <x v="1"/>
    <x v="0"/>
    <x v="1"/>
    <x v="1"/>
    <x v="0"/>
    <x v="0"/>
  </r>
  <r>
    <x v="81"/>
    <x v="0"/>
    <x v="4"/>
    <x v="4"/>
    <x v="1"/>
    <x v="0"/>
    <x v="1"/>
    <x v="0"/>
    <x v="0"/>
  </r>
  <r>
    <x v="82"/>
    <x v="1"/>
    <x v="5"/>
    <x v="7"/>
    <x v="0"/>
    <x v="0"/>
    <x v="0"/>
    <x v="0"/>
    <x v="1"/>
  </r>
  <r>
    <x v="83"/>
    <x v="0"/>
    <x v="0"/>
    <x v="10"/>
    <x v="1"/>
    <x v="1"/>
    <x v="1"/>
    <x v="0"/>
    <x v="1"/>
  </r>
  <r>
    <x v="84"/>
    <x v="1"/>
    <x v="3"/>
    <x v="13"/>
    <x v="0"/>
    <x v="0"/>
    <x v="0"/>
    <x v="0"/>
    <x v="2"/>
  </r>
  <r>
    <x v="85"/>
    <x v="0"/>
    <x v="4"/>
    <x v="16"/>
    <x v="1"/>
    <x v="1"/>
    <x v="0"/>
    <x v="1"/>
    <x v="2"/>
  </r>
  <r>
    <x v="86"/>
    <x v="1"/>
    <x v="5"/>
    <x v="19"/>
    <x v="1"/>
    <x v="0"/>
    <x v="2"/>
    <x v="1"/>
    <x v="2"/>
  </r>
  <r>
    <x v="87"/>
    <x v="0"/>
    <x v="1"/>
    <x v="22"/>
    <x v="0"/>
    <x v="1"/>
    <x v="1"/>
    <x v="0"/>
    <x v="3"/>
  </r>
  <r>
    <x v="88"/>
    <x v="0"/>
    <x v="2"/>
    <x v="21"/>
    <x v="1"/>
    <x v="0"/>
    <x v="1"/>
    <x v="0"/>
    <x v="3"/>
  </r>
  <r>
    <x v="89"/>
    <x v="1"/>
    <x v="3"/>
    <x v="27"/>
    <x v="0"/>
    <x v="0"/>
    <x v="0"/>
    <x v="0"/>
    <x v="4"/>
  </r>
  <r>
    <x v="90"/>
    <x v="0"/>
    <x v="5"/>
    <x v="3"/>
    <x v="1"/>
    <x v="1"/>
    <x v="1"/>
    <x v="1"/>
    <x v="0"/>
  </r>
  <r>
    <x v="91"/>
    <x v="0"/>
    <x v="0"/>
    <x v="6"/>
    <x v="1"/>
    <x v="1"/>
    <x v="1"/>
    <x v="0"/>
    <x v="1"/>
  </r>
  <r>
    <x v="92"/>
    <x v="1"/>
    <x v="1"/>
    <x v="9"/>
    <x v="0"/>
    <x v="0"/>
    <x v="0"/>
    <x v="0"/>
    <x v="1"/>
  </r>
  <r>
    <x v="93"/>
    <x v="0"/>
    <x v="2"/>
    <x v="12"/>
    <x v="1"/>
    <x v="0"/>
    <x v="2"/>
    <x v="1"/>
    <x v="1"/>
  </r>
  <r>
    <x v="94"/>
    <x v="1"/>
    <x v="3"/>
    <x v="15"/>
    <x v="0"/>
    <x v="1"/>
    <x v="1"/>
    <x v="0"/>
    <x v="2"/>
  </r>
  <r>
    <x v="95"/>
    <x v="0"/>
    <x v="4"/>
    <x v="18"/>
    <x v="1"/>
    <x v="0"/>
    <x v="1"/>
    <x v="0"/>
    <x v="2"/>
  </r>
  <r>
    <x v="96"/>
    <x v="1"/>
    <x v="5"/>
    <x v="20"/>
    <x v="0"/>
    <x v="0"/>
    <x v="0"/>
    <x v="0"/>
    <x v="3"/>
  </r>
  <r>
    <x v="97"/>
    <x v="0"/>
    <x v="0"/>
    <x v="28"/>
    <x v="1"/>
    <x v="1"/>
    <x v="1"/>
    <x v="0"/>
    <x v="3"/>
  </r>
  <r>
    <x v="98"/>
    <x v="1"/>
    <x v="3"/>
    <x v="29"/>
    <x v="0"/>
    <x v="0"/>
    <x v="0"/>
    <x v="0"/>
    <x v="4"/>
  </r>
  <r>
    <x v="99"/>
    <x v="0"/>
    <x v="4"/>
    <x v="0"/>
    <x v="1"/>
    <x v="1"/>
    <x v="0"/>
    <x v="1"/>
    <x v="0"/>
  </r>
  <r>
    <x v="100"/>
    <x v="1"/>
    <x v="5"/>
    <x v="2"/>
    <x v="0"/>
    <x v="0"/>
    <x v="0"/>
    <x v="0"/>
    <x v="0"/>
  </r>
  <r>
    <x v="101"/>
    <x v="0"/>
    <x v="0"/>
    <x v="5"/>
    <x v="1"/>
    <x v="1"/>
    <x v="1"/>
    <x v="1"/>
    <x v="0"/>
  </r>
  <r>
    <x v="102"/>
    <x v="1"/>
    <x v="1"/>
    <x v="8"/>
    <x v="1"/>
    <x v="0"/>
    <x v="0"/>
    <x v="0"/>
    <x v="1"/>
  </r>
  <r>
    <x v="103"/>
    <x v="0"/>
    <x v="2"/>
    <x v="11"/>
    <x v="0"/>
    <x v="1"/>
    <x v="1"/>
    <x v="0"/>
    <x v="1"/>
  </r>
  <r>
    <x v="104"/>
    <x v="0"/>
    <x v="3"/>
    <x v="14"/>
    <x v="1"/>
    <x v="1"/>
    <x v="0"/>
    <x v="0"/>
    <x v="2"/>
  </r>
  <r>
    <x v="105"/>
    <x v="1"/>
    <x v="4"/>
    <x v="17"/>
    <x v="0"/>
    <x v="0"/>
    <x v="0"/>
    <x v="0"/>
    <x v="2"/>
  </r>
  <r>
    <x v="106"/>
    <x v="0"/>
    <x v="5"/>
    <x v="24"/>
    <x v="1"/>
    <x v="0"/>
    <x v="1"/>
    <x v="1"/>
    <x v="3"/>
  </r>
  <r>
    <x v="107"/>
    <x v="0"/>
    <x v="0"/>
    <x v="25"/>
    <x v="1"/>
    <x v="1"/>
    <x v="1"/>
    <x v="0"/>
    <x v="3"/>
  </r>
  <r>
    <x v="108"/>
    <x v="1"/>
    <x v="1"/>
    <x v="23"/>
    <x v="0"/>
    <x v="0"/>
    <x v="0"/>
    <x v="0"/>
    <x v="3"/>
  </r>
  <r>
    <x v="109"/>
    <x v="0"/>
    <x v="2"/>
    <x v="26"/>
    <x v="1"/>
    <x v="0"/>
    <x v="2"/>
    <x v="1"/>
    <x v="4"/>
  </r>
  <r>
    <x v="110"/>
    <x v="1"/>
    <x v="3"/>
    <x v="1"/>
    <x v="0"/>
    <x v="1"/>
    <x v="1"/>
    <x v="0"/>
    <x v="0"/>
  </r>
  <r>
    <x v="111"/>
    <x v="0"/>
    <x v="4"/>
    <x v="4"/>
    <x v="1"/>
    <x v="0"/>
    <x v="1"/>
    <x v="0"/>
    <x v="0"/>
  </r>
  <r>
    <x v="112"/>
    <x v="1"/>
    <x v="5"/>
    <x v="7"/>
    <x v="0"/>
    <x v="0"/>
    <x v="0"/>
    <x v="0"/>
    <x v="1"/>
  </r>
  <r>
    <x v="113"/>
    <x v="0"/>
    <x v="0"/>
    <x v="10"/>
    <x v="1"/>
    <x v="1"/>
    <x v="1"/>
    <x v="0"/>
    <x v="1"/>
  </r>
  <r>
    <x v="114"/>
    <x v="1"/>
    <x v="3"/>
    <x v="13"/>
    <x v="0"/>
    <x v="0"/>
    <x v="0"/>
    <x v="0"/>
    <x v="2"/>
  </r>
  <r>
    <x v="115"/>
    <x v="0"/>
    <x v="4"/>
    <x v="16"/>
    <x v="1"/>
    <x v="1"/>
    <x v="0"/>
    <x v="1"/>
    <x v="2"/>
  </r>
  <r>
    <x v="116"/>
    <x v="1"/>
    <x v="5"/>
    <x v="19"/>
    <x v="1"/>
    <x v="0"/>
    <x v="2"/>
    <x v="1"/>
    <x v="2"/>
  </r>
  <r>
    <x v="117"/>
    <x v="0"/>
    <x v="1"/>
    <x v="22"/>
    <x v="0"/>
    <x v="1"/>
    <x v="1"/>
    <x v="0"/>
    <x v="3"/>
  </r>
  <r>
    <x v="118"/>
    <x v="0"/>
    <x v="2"/>
    <x v="21"/>
    <x v="1"/>
    <x v="0"/>
    <x v="1"/>
    <x v="0"/>
    <x v="3"/>
  </r>
  <r>
    <x v="119"/>
    <x v="1"/>
    <x v="3"/>
    <x v="27"/>
    <x v="0"/>
    <x v="0"/>
    <x v="0"/>
    <x v="0"/>
    <x v="4"/>
  </r>
  <r>
    <x v="120"/>
    <x v="1"/>
    <x v="5"/>
    <x v="30"/>
    <x v="0"/>
    <x v="1"/>
    <x v="1"/>
    <x v="0"/>
    <x v="4"/>
  </r>
  <r>
    <x v="121"/>
    <x v="0"/>
    <x v="0"/>
    <x v="30"/>
    <x v="1"/>
    <x v="0"/>
    <x v="2"/>
    <x v="1"/>
    <x v="4"/>
  </r>
  <r>
    <x v="122"/>
    <x v="1"/>
    <x v="1"/>
    <x v="30"/>
    <x v="1"/>
    <x v="1"/>
    <x v="1"/>
    <x v="0"/>
    <x v="4"/>
  </r>
  <r>
    <x v="123"/>
    <x v="0"/>
    <x v="2"/>
    <x v="30"/>
    <x v="0"/>
    <x v="0"/>
    <x v="0"/>
    <x v="0"/>
    <x v="4"/>
  </r>
  <r>
    <x v="124"/>
    <x v="0"/>
    <x v="3"/>
    <x v="30"/>
    <x v="1"/>
    <x v="1"/>
    <x v="0"/>
    <x v="0"/>
    <x v="4"/>
  </r>
  <r>
    <x v="125"/>
    <x v="1"/>
    <x v="4"/>
    <x v="30"/>
    <x v="0"/>
    <x v="0"/>
    <x v="0"/>
    <x v="0"/>
    <x v="4"/>
  </r>
  <r>
    <x v="126"/>
    <x v="0"/>
    <x v="5"/>
    <x v="30"/>
    <x v="1"/>
    <x v="0"/>
    <x v="1"/>
    <x v="1"/>
    <x v="4"/>
  </r>
  <r>
    <x v="127"/>
    <x v="0"/>
    <x v="0"/>
    <x v="30"/>
    <x v="1"/>
    <x v="1"/>
    <x v="1"/>
    <x v="0"/>
    <x v="4"/>
  </r>
  <r>
    <x v="128"/>
    <x v="1"/>
    <x v="1"/>
    <x v="30"/>
    <x v="0"/>
    <x v="0"/>
    <x v="0"/>
    <x v="0"/>
    <x v="4"/>
  </r>
  <r>
    <x v="129"/>
    <x v="0"/>
    <x v="2"/>
    <x v="30"/>
    <x v="1"/>
    <x v="0"/>
    <x v="2"/>
    <x v="1"/>
    <x v="4"/>
  </r>
  <r>
    <x v="130"/>
    <x v="1"/>
    <x v="3"/>
    <x v="30"/>
    <x v="0"/>
    <x v="1"/>
    <x v="1"/>
    <x v="0"/>
    <x v="4"/>
  </r>
  <r>
    <x v="131"/>
    <x v="0"/>
    <x v="4"/>
    <x v="30"/>
    <x v="1"/>
    <x v="0"/>
    <x v="1"/>
    <x v="0"/>
    <x v="4"/>
  </r>
  <r>
    <x v="132"/>
    <x v="1"/>
    <x v="5"/>
    <x v="30"/>
    <x v="0"/>
    <x v="0"/>
    <x v="0"/>
    <x v="0"/>
    <x v="4"/>
  </r>
  <r>
    <x v="133"/>
    <x v="0"/>
    <x v="0"/>
    <x v="30"/>
    <x v="1"/>
    <x v="1"/>
    <x v="1"/>
    <x v="0"/>
    <x v="4"/>
  </r>
  <r>
    <x v="134"/>
    <x v="1"/>
    <x v="3"/>
    <x v="30"/>
    <x v="0"/>
    <x v="0"/>
    <x v="0"/>
    <x v="0"/>
    <x v="4"/>
  </r>
  <r>
    <x v="135"/>
    <x v="0"/>
    <x v="4"/>
    <x v="30"/>
    <x v="1"/>
    <x v="1"/>
    <x v="0"/>
    <x v="1"/>
    <x v="4"/>
  </r>
  <r>
    <x v="136"/>
    <x v="1"/>
    <x v="5"/>
    <x v="30"/>
    <x v="1"/>
    <x v="0"/>
    <x v="2"/>
    <x v="1"/>
    <x v="4"/>
  </r>
  <r>
    <x v="137"/>
    <x v="0"/>
    <x v="1"/>
    <x v="30"/>
    <x v="0"/>
    <x v="1"/>
    <x v="1"/>
    <x v="0"/>
    <x v="4"/>
  </r>
  <r>
    <x v="138"/>
    <x v="0"/>
    <x v="2"/>
    <x v="30"/>
    <x v="1"/>
    <x v="0"/>
    <x v="1"/>
    <x v="0"/>
    <x v="4"/>
  </r>
  <r>
    <x v="139"/>
    <x v="1"/>
    <x v="3"/>
    <x v="30"/>
    <x v="0"/>
    <x v="0"/>
    <x v="0"/>
    <x v="0"/>
    <x v="4"/>
  </r>
  <r>
    <x v="140"/>
    <x v="1"/>
    <x v="1"/>
    <x v="9"/>
    <x v="0"/>
    <x v="1"/>
    <x v="1"/>
    <x v="0"/>
    <x v="1"/>
  </r>
  <r>
    <x v="141"/>
    <x v="0"/>
    <x v="2"/>
    <x v="14"/>
    <x v="1"/>
    <x v="0"/>
    <x v="2"/>
    <x v="1"/>
    <x v="2"/>
  </r>
  <r>
    <x v="142"/>
    <x v="1"/>
    <x v="3"/>
    <x v="19"/>
    <x v="1"/>
    <x v="1"/>
    <x v="1"/>
    <x v="0"/>
    <x v="2"/>
  </r>
  <r>
    <x v="143"/>
    <x v="0"/>
    <x v="4"/>
    <x v="28"/>
    <x v="0"/>
    <x v="0"/>
    <x v="0"/>
    <x v="0"/>
    <x v="3"/>
  </r>
  <r>
    <x v="144"/>
    <x v="0"/>
    <x v="5"/>
    <x v="30"/>
    <x v="0"/>
    <x v="1"/>
    <x v="1"/>
    <x v="0"/>
    <x v="4"/>
  </r>
  <r>
    <x v="145"/>
    <x v="0"/>
    <x v="0"/>
    <x v="7"/>
    <x v="1"/>
    <x v="1"/>
    <x v="1"/>
    <x v="0"/>
    <x v="1"/>
  </r>
  <r>
    <x v="146"/>
    <x v="1"/>
    <x v="3"/>
    <x v="12"/>
    <x v="1"/>
    <x v="0"/>
    <x v="0"/>
    <x v="0"/>
    <x v="1"/>
  </r>
  <r>
    <x v="147"/>
    <x v="0"/>
    <x v="4"/>
    <x v="17"/>
    <x v="0"/>
    <x v="0"/>
    <x v="0"/>
    <x v="1"/>
    <x v="2"/>
  </r>
  <r>
    <x v="148"/>
    <x v="1"/>
    <x v="5"/>
    <x v="22"/>
    <x v="1"/>
    <x v="1"/>
    <x v="1"/>
    <x v="0"/>
    <x v="3"/>
  </r>
  <r>
    <x v="149"/>
    <x v="0"/>
    <x v="0"/>
    <x v="29"/>
    <x v="0"/>
    <x v="0"/>
    <x v="0"/>
    <x v="0"/>
    <x v="4"/>
  </r>
  <r>
    <x v="150"/>
    <x v="0"/>
    <x v="2"/>
    <x v="4"/>
    <x v="1"/>
    <x v="0"/>
    <x v="1"/>
    <x v="0"/>
    <x v="0"/>
  </r>
  <r>
    <x v="151"/>
    <x v="1"/>
    <x v="3"/>
    <x v="9"/>
    <x v="0"/>
    <x v="1"/>
    <x v="1"/>
    <x v="0"/>
    <x v="1"/>
  </r>
  <r>
    <x v="152"/>
    <x v="0"/>
    <x v="4"/>
    <x v="14"/>
    <x v="1"/>
    <x v="1"/>
    <x v="0"/>
    <x v="0"/>
    <x v="2"/>
  </r>
  <r>
    <x v="153"/>
    <x v="1"/>
    <x v="5"/>
    <x v="19"/>
    <x v="0"/>
    <x v="0"/>
    <x v="0"/>
    <x v="0"/>
    <x v="2"/>
  </r>
  <r>
    <x v="154"/>
    <x v="0"/>
    <x v="0"/>
    <x v="28"/>
    <x v="1"/>
    <x v="0"/>
    <x v="1"/>
    <x v="1"/>
    <x v="3"/>
  </r>
  <r>
    <x v="155"/>
    <x v="1"/>
    <x v="3"/>
    <x v="30"/>
    <x v="1"/>
    <x v="1"/>
    <x v="2"/>
    <x v="1"/>
    <x v="4"/>
  </r>
  <r>
    <x v="156"/>
    <x v="0"/>
    <x v="4"/>
    <x v="7"/>
    <x v="0"/>
    <x v="1"/>
    <x v="1"/>
    <x v="0"/>
    <x v="1"/>
  </r>
  <r>
    <x v="157"/>
    <x v="0"/>
    <x v="5"/>
    <x v="12"/>
    <x v="1"/>
    <x v="0"/>
    <x v="1"/>
    <x v="0"/>
    <x v="1"/>
  </r>
  <r>
    <x v="158"/>
    <x v="1"/>
    <x v="0"/>
    <x v="17"/>
    <x v="0"/>
    <x v="0"/>
    <x v="0"/>
    <x v="0"/>
    <x v="2"/>
  </r>
  <r>
    <x v="159"/>
    <x v="0"/>
    <x v="3"/>
    <x v="22"/>
    <x v="1"/>
    <x v="1"/>
    <x v="1"/>
    <x v="1"/>
    <x v="3"/>
  </r>
  <r>
    <x v="160"/>
    <x v="1"/>
    <x v="4"/>
    <x v="29"/>
    <x v="1"/>
    <x v="0"/>
    <x v="0"/>
    <x v="0"/>
    <x v="4"/>
  </r>
  <r>
    <x v="161"/>
    <x v="0"/>
    <x v="5"/>
    <x v="5"/>
    <x v="0"/>
    <x v="1"/>
    <x v="1"/>
    <x v="0"/>
    <x v="0"/>
  </r>
  <r>
    <x v="162"/>
    <x v="1"/>
    <x v="0"/>
    <x v="10"/>
    <x v="1"/>
    <x v="0"/>
    <x v="0"/>
    <x v="0"/>
    <x v="1"/>
  </r>
  <r>
    <x v="163"/>
    <x v="0"/>
    <x v="3"/>
    <x v="15"/>
    <x v="0"/>
    <x v="0"/>
    <x v="0"/>
    <x v="0"/>
    <x v="2"/>
  </r>
  <r>
    <x v="164"/>
    <x v="1"/>
    <x v="4"/>
    <x v="24"/>
    <x v="1"/>
    <x v="1"/>
    <x v="2"/>
    <x v="1"/>
    <x v="3"/>
  </r>
  <r>
    <x v="165"/>
    <x v="0"/>
    <x v="5"/>
    <x v="21"/>
    <x v="0"/>
    <x v="0"/>
    <x v="1"/>
    <x v="0"/>
    <x v="3"/>
  </r>
  <r>
    <x v="166"/>
    <x v="1"/>
    <x v="0"/>
    <x v="30"/>
    <x v="1"/>
    <x v="0"/>
    <x v="0"/>
    <x v="0"/>
    <x v="4"/>
  </r>
  <r>
    <x v="167"/>
    <x v="0"/>
    <x v="3"/>
    <x v="6"/>
    <x v="0"/>
    <x v="1"/>
    <x v="1"/>
    <x v="1"/>
    <x v="1"/>
  </r>
  <r>
    <x v="168"/>
    <x v="1"/>
    <x v="4"/>
    <x v="11"/>
    <x v="1"/>
    <x v="1"/>
    <x v="1"/>
    <x v="0"/>
    <x v="1"/>
  </r>
  <r>
    <x v="169"/>
    <x v="0"/>
    <x v="5"/>
    <x v="16"/>
    <x v="1"/>
    <x v="0"/>
    <x v="0"/>
    <x v="0"/>
    <x v="2"/>
  </r>
  <r>
    <x v="170"/>
    <x v="1"/>
    <x v="0"/>
    <x v="20"/>
    <x v="0"/>
    <x v="0"/>
    <x v="0"/>
    <x v="0"/>
    <x v="3"/>
  </r>
  <r>
    <x v="171"/>
    <x v="0"/>
    <x v="3"/>
    <x v="23"/>
    <x v="1"/>
    <x v="1"/>
    <x v="2"/>
    <x v="0"/>
    <x v="3"/>
  </r>
  <r>
    <x v="172"/>
    <x v="1"/>
    <x v="4"/>
    <x v="2"/>
    <x v="0"/>
    <x v="0"/>
    <x v="0"/>
    <x v="0"/>
    <x v="0"/>
  </r>
  <r>
    <x v="173"/>
    <x v="0"/>
    <x v="5"/>
    <x v="7"/>
    <x v="1"/>
    <x v="1"/>
    <x v="1"/>
    <x v="0"/>
    <x v="1"/>
  </r>
  <r>
    <x v="174"/>
    <x v="1"/>
    <x v="0"/>
    <x v="12"/>
    <x v="0"/>
    <x v="0"/>
    <x v="0"/>
    <x v="1"/>
    <x v="1"/>
  </r>
  <r>
    <x v="175"/>
    <x v="0"/>
    <x v="3"/>
    <x v="17"/>
    <x v="1"/>
    <x v="0"/>
    <x v="1"/>
    <x v="0"/>
    <x v="2"/>
  </r>
  <r>
    <x v="176"/>
    <x v="1"/>
    <x v="4"/>
    <x v="22"/>
    <x v="0"/>
    <x v="1"/>
    <x v="0"/>
    <x v="0"/>
    <x v="3"/>
  </r>
  <r>
    <x v="177"/>
    <x v="0"/>
    <x v="5"/>
    <x v="29"/>
    <x v="1"/>
    <x v="0"/>
    <x v="1"/>
    <x v="0"/>
    <x v="4"/>
  </r>
  <r>
    <x v="178"/>
    <x v="1"/>
    <x v="0"/>
    <x v="3"/>
    <x v="0"/>
    <x v="0"/>
    <x v="0"/>
    <x v="0"/>
    <x v="0"/>
  </r>
  <r>
    <x v="179"/>
    <x v="0"/>
    <x v="3"/>
    <x v="8"/>
    <x v="1"/>
    <x v="1"/>
    <x v="1"/>
    <x v="0"/>
    <x v="1"/>
  </r>
  <r>
    <x v="180"/>
    <x v="1"/>
    <x v="4"/>
    <x v="13"/>
    <x v="0"/>
    <x v="0"/>
    <x v="0"/>
    <x v="0"/>
    <x v="2"/>
  </r>
  <r>
    <x v="181"/>
    <x v="0"/>
    <x v="5"/>
    <x v="18"/>
    <x v="1"/>
    <x v="1"/>
    <x v="1"/>
    <x v="1"/>
    <x v="2"/>
  </r>
  <r>
    <x v="182"/>
    <x v="1"/>
    <x v="0"/>
    <x v="25"/>
    <x v="0"/>
    <x v="0"/>
    <x v="0"/>
    <x v="0"/>
    <x v="3"/>
  </r>
  <r>
    <x v="183"/>
    <x v="0"/>
    <x v="3"/>
    <x v="27"/>
    <x v="1"/>
    <x v="0"/>
    <x v="0"/>
    <x v="0"/>
    <x v="4"/>
  </r>
  <r>
    <x v="184"/>
    <x v="1"/>
    <x v="4"/>
    <x v="1"/>
    <x v="0"/>
    <x v="1"/>
    <x v="1"/>
    <x v="0"/>
    <x v="0"/>
  </r>
  <r>
    <x v="185"/>
    <x v="0"/>
    <x v="5"/>
    <x v="6"/>
    <x v="1"/>
    <x v="0"/>
    <x v="0"/>
    <x v="0"/>
    <x v="1"/>
  </r>
  <r>
    <x v="186"/>
    <x v="1"/>
    <x v="0"/>
    <x v="11"/>
    <x v="0"/>
    <x v="0"/>
    <x v="1"/>
    <x v="1"/>
    <x v="1"/>
  </r>
  <r>
    <x v="187"/>
    <x v="0"/>
    <x v="3"/>
    <x v="16"/>
    <x v="1"/>
    <x v="1"/>
    <x v="1"/>
    <x v="0"/>
    <x v="2"/>
  </r>
  <r>
    <x v="188"/>
    <x v="1"/>
    <x v="4"/>
    <x v="20"/>
    <x v="0"/>
    <x v="0"/>
    <x v="0"/>
    <x v="0"/>
    <x v="3"/>
  </r>
  <r>
    <x v="189"/>
    <x v="0"/>
    <x v="5"/>
    <x v="23"/>
    <x v="1"/>
    <x v="1"/>
    <x v="0"/>
    <x v="0"/>
    <x v="3"/>
  </r>
  <r>
    <x v="190"/>
    <x v="1"/>
    <x v="0"/>
    <x v="4"/>
    <x v="0"/>
    <x v="0"/>
    <x v="1"/>
    <x v="0"/>
    <x v="0"/>
  </r>
  <r>
    <x v="191"/>
    <x v="0"/>
    <x v="3"/>
    <x v="9"/>
    <x v="1"/>
    <x v="0"/>
    <x v="0"/>
    <x v="0"/>
    <x v="1"/>
  </r>
  <r>
    <x v="192"/>
    <x v="1"/>
    <x v="4"/>
    <x v="14"/>
    <x v="0"/>
    <x v="1"/>
    <x v="1"/>
    <x v="0"/>
    <x v="2"/>
  </r>
  <r>
    <x v="193"/>
    <x v="0"/>
    <x v="5"/>
    <x v="19"/>
    <x v="1"/>
    <x v="0"/>
    <x v="1"/>
    <x v="1"/>
    <x v="2"/>
  </r>
  <r>
    <x v="194"/>
    <x v="1"/>
    <x v="0"/>
    <x v="28"/>
    <x v="0"/>
    <x v="0"/>
    <x v="0"/>
    <x v="0"/>
    <x v="3"/>
  </r>
  <r>
    <x v="195"/>
    <x v="0"/>
    <x v="3"/>
    <x v="26"/>
    <x v="1"/>
    <x v="1"/>
    <x v="1"/>
    <x v="0"/>
    <x v="4"/>
  </r>
  <r>
    <x v="196"/>
    <x v="1"/>
    <x v="4"/>
    <x v="0"/>
    <x v="1"/>
    <x v="0"/>
    <x v="0"/>
    <x v="1"/>
    <x v="0"/>
  </r>
  <r>
    <x v="197"/>
    <x v="0"/>
    <x v="5"/>
    <x v="5"/>
    <x v="0"/>
    <x v="1"/>
    <x v="1"/>
    <x v="0"/>
    <x v="0"/>
  </r>
  <r>
    <x v="198"/>
    <x v="1"/>
    <x v="0"/>
    <x v="10"/>
    <x v="1"/>
    <x v="0"/>
    <x v="0"/>
    <x v="0"/>
    <x v="1"/>
  </r>
  <r>
    <x v="199"/>
    <x v="0"/>
    <x v="3"/>
    <x v="15"/>
    <x v="0"/>
    <x v="0"/>
    <x v="0"/>
    <x v="0"/>
    <x v="2"/>
  </r>
  <r>
    <x v="200"/>
    <x v="0"/>
    <x v="5"/>
    <x v="24"/>
    <x v="1"/>
    <x v="0"/>
    <x v="0"/>
    <x v="1"/>
    <x v="3"/>
  </r>
  <r>
    <x v="201"/>
    <x v="1"/>
    <x v="0"/>
    <x v="21"/>
    <x v="0"/>
    <x v="0"/>
    <x v="1"/>
    <x v="0"/>
    <x v="3"/>
  </r>
  <r>
    <x v="202"/>
    <x v="0"/>
    <x v="3"/>
    <x v="30"/>
    <x v="1"/>
    <x v="1"/>
    <x v="2"/>
    <x v="1"/>
    <x v="4"/>
  </r>
  <r>
    <x v="203"/>
    <x v="1"/>
    <x v="4"/>
    <x v="7"/>
    <x v="0"/>
    <x v="1"/>
    <x v="1"/>
    <x v="0"/>
    <x v="1"/>
  </r>
  <r>
    <x v="204"/>
    <x v="0"/>
    <x v="5"/>
    <x v="12"/>
    <x v="1"/>
    <x v="0"/>
    <x v="1"/>
    <x v="0"/>
    <x v="1"/>
  </r>
  <r>
    <x v="205"/>
    <x v="1"/>
    <x v="0"/>
    <x v="17"/>
    <x v="0"/>
    <x v="0"/>
    <x v="0"/>
    <x v="0"/>
    <x v="2"/>
  </r>
  <r>
    <x v="206"/>
    <x v="0"/>
    <x v="3"/>
    <x v="22"/>
    <x v="1"/>
    <x v="1"/>
    <x v="1"/>
    <x v="1"/>
    <x v="3"/>
  </r>
  <r>
    <x v="207"/>
    <x v="1"/>
    <x v="4"/>
    <x v="29"/>
    <x v="1"/>
    <x v="0"/>
    <x v="0"/>
    <x v="0"/>
    <x v="4"/>
  </r>
  <r>
    <x v="208"/>
    <x v="0"/>
    <x v="5"/>
    <x v="5"/>
    <x v="0"/>
    <x v="1"/>
    <x v="1"/>
    <x v="0"/>
    <x v="0"/>
  </r>
  <r>
    <x v="209"/>
    <x v="1"/>
    <x v="0"/>
    <x v="10"/>
    <x v="1"/>
    <x v="0"/>
    <x v="0"/>
    <x v="0"/>
    <x v="1"/>
  </r>
  <r>
    <x v="210"/>
    <x v="0"/>
    <x v="3"/>
    <x v="15"/>
    <x v="0"/>
    <x v="0"/>
    <x v="0"/>
    <x v="0"/>
    <x v="2"/>
  </r>
  <r>
    <x v="211"/>
    <x v="1"/>
    <x v="4"/>
    <x v="24"/>
    <x v="1"/>
    <x v="1"/>
    <x v="2"/>
    <x v="1"/>
    <x v="3"/>
  </r>
  <r>
    <x v="212"/>
    <x v="0"/>
    <x v="5"/>
    <x v="21"/>
    <x v="0"/>
    <x v="0"/>
    <x v="1"/>
    <x v="0"/>
    <x v="3"/>
  </r>
  <r>
    <x v="213"/>
    <x v="1"/>
    <x v="0"/>
    <x v="30"/>
    <x v="1"/>
    <x v="0"/>
    <x v="0"/>
    <x v="0"/>
    <x v="4"/>
  </r>
  <r>
    <x v="214"/>
    <x v="0"/>
    <x v="3"/>
    <x v="6"/>
    <x v="0"/>
    <x v="1"/>
    <x v="1"/>
    <x v="1"/>
    <x v="1"/>
  </r>
  <r>
    <x v="215"/>
    <x v="1"/>
    <x v="4"/>
    <x v="11"/>
    <x v="1"/>
    <x v="1"/>
    <x v="1"/>
    <x v="0"/>
    <x v="1"/>
  </r>
  <r>
    <x v="216"/>
    <x v="0"/>
    <x v="5"/>
    <x v="16"/>
    <x v="1"/>
    <x v="0"/>
    <x v="0"/>
    <x v="0"/>
    <x v="2"/>
  </r>
  <r>
    <x v="217"/>
    <x v="1"/>
    <x v="0"/>
    <x v="20"/>
    <x v="0"/>
    <x v="0"/>
    <x v="0"/>
    <x v="0"/>
    <x v="3"/>
  </r>
  <r>
    <x v="218"/>
    <x v="0"/>
    <x v="3"/>
    <x v="23"/>
    <x v="1"/>
    <x v="1"/>
    <x v="2"/>
    <x v="0"/>
    <x v="3"/>
  </r>
  <r>
    <x v="219"/>
    <x v="1"/>
    <x v="4"/>
    <x v="2"/>
    <x v="0"/>
    <x v="0"/>
    <x v="0"/>
    <x v="0"/>
    <x v="0"/>
  </r>
  <r>
    <x v="220"/>
    <x v="0"/>
    <x v="5"/>
    <x v="7"/>
    <x v="1"/>
    <x v="1"/>
    <x v="1"/>
    <x v="0"/>
    <x v="1"/>
  </r>
  <r>
    <x v="221"/>
    <x v="1"/>
    <x v="0"/>
    <x v="12"/>
    <x v="0"/>
    <x v="0"/>
    <x v="0"/>
    <x v="1"/>
    <x v="1"/>
  </r>
  <r>
    <x v="222"/>
    <x v="0"/>
    <x v="3"/>
    <x v="17"/>
    <x v="1"/>
    <x v="0"/>
    <x v="1"/>
    <x v="0"/>
    <x v="2"/>
  </r>
  <r>
    <x v="223"/>
    <x v="1"/>
    <x v="4"/>
    <x v="22"/>
    <x v="0"/>
    <x v="1"/>
    <x v="0"/>
    <x v="0"/>
    <x v="3"/>
  </r>
  <r>
    <x v="224"/>
    <x v="0"/>
    <x v="5"/>
    <x v="29"/>
    <x v="1"/>
    <x v="0"/>
    <x v="1"/>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4A1713-516F-43F9-B474-BD6C1B6BE3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Row"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4"/>
  </rowFields>
  <rowItems count="3">
    <i>
      <x/>
    </i>
    <i>
      <x v="1"/>
    </i>
    <i t="grand">
      <x/>
    </i>
  </rowItems>
  <colItems count="1">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969E89-C4DD-4112-B92D-9AB5DEC728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B12" firstHeaderRow="1" firstDataRow="1"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Row"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4"/>
  </rowFields>
  <rowItems count="3">
    <i>
      <x/>
    </i>
    <i>
      <x v="1"/>
    </i>
    <i t="grand">
      <x/>
    </i>
  </rowItems>
  <colItems count="1">
    <i/>
  </colItems>
  <dataFields count="1">
    <dataField name="Count of Client ID" fld="0" subtotal="count" showDataAs="percentOfTotal" baseField="4"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81F8CC-23C5-48AF-9150-A64E08F3EA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1" firstHeaderRow="1" firstDataRow="2" firstDataCol="1"/>
  <pivotFields count="9">
    <pivotField dataField="1" showAll="0">
      <items count="22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3">
        <item x="0"/>
        <item x="1"/>
        <item t="default"/>
      </items>
    </pivotField>
    <pivotField axis="axisRow" showAll="0">
      <items count="7">
        <item x="2"/>
        <item x="5"/>
        <item x="4"/>
        <item x="3"/>
        <item x="1"/>
        <item x="0"/>
        <item t="default"/>
      </items>
    </pivotField>
    <pivotField numFmtId="14" showAll="0"/>
    <pivotField axis="axisCol"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2"/>
  </rowFields>
  <rowItems count="7">
    <i>
      <x/>
    </i>
    <i>
      <x v="1"/>
    </i>
    <i>
      <x v="2"/>
    </i>
    <i>
      <x v="3"/>
    </i>
    <i>
      <x v="4"/>
    </i>
    <i>
      <x v="5"/>
    </i>
    <i t="grand">
      <x/>
    </i>
  </rowItems>
  <colFields count="1">
    <field x="4"/>
  </colFields>
  <colItems count="3">
    <i>
      <x/>
    </i>
    <i>
      <x v="1"/>
    </i>
    <i t="grand">
      <x/>
    </i>
  </colItems>
  <dataFields count="1">
    <dataField name="Count of Client ID" fld="0" subtotal="count" baseField="0" baseItem="0"/>
  </dataFields>
  <formats count="24">
    <format dxfId="32">
      <pivotArea type="origin" dataOnly="0" labelOnly="1" outline="0" fieldPosition="0"/>
    </format>
    <format dxfId="31">
      <pivotArea field="4" type="button" dataOnly="0" labelOnly="1" outline="0" axis="axisCol" fieldPosition="0"/>
    </format>
    <format dxfId="30">
      <pivotArea type="topRight" dataOnly="0" labelOnly="1" outline="0" fieldPosition="0"/>
    </format>
    <format dxfId="29">
      <pivotArea field="2" type="button" dataOnly="0" labelOnly="1" outline="0" axis="axisRow" fieldPosition="0"/>
    </format>
    <format dxfId="28">
      <pivotArea dataOnly="0" labelOnly="1" fieldPosition="0">
        <references count="1">
          <reference field="4" count="0"/>
        </references>
      </pivotArea>
    </format>
    <format dxfId="27">
      <pivotArea dataOnly="0" labelOnly="1" grandCol="1" outline="0" fieldPosition="0"/>
    </format>
    <format dxfId="26">
      <pivotArea type="origin" dataOnly="0" labelOnly="1" outline="0" fieldPosition="0"/>
    </format>
    <format dxfId="25">
      <pivotArea field="4" type="button" dataOnly="0" labelOnly="1" outline="0" axis="axisCol" fieldPosition="0"/>
    </format>
    <format dxfId="24">
      <pivotArea type="topRight" dataOnly="0" labelOnly="1" outline="0" fieldPosition="0"/>
    </format>
    <format dxfId="23">
      <pivotArea field="2" type="button" dataOnly="0" labelOnly="1" outline="0" axis="axisRow" fieldPosition="0"/>
    </format>
    <format dxfId="22">
      <pivotArea dataOnly="0" labelOnly="1" fieldPosition="0">
        <references count="1">
          <reference field="4" count="0"/>
        </references>
      </pivotArea>
    </format>
    <format dxfId="21">
      <pivotArea dataOnly="0" labelOnly="1" grandCol="1" outline="0" fieldPosition="0"/>
    </format>
    <format dxfId="20">
      <pivotArea type="origin" dataOnly="0" labelOnly="1" outline="0" fieldPosition="0"/>
    </format>
    <format dxfId="19">
      <pivotArea field="4" type="button" dataOnly="0" labelOnly="1" outline="0" axis="axisCol" fieldPosition="0"/>
    </format>
    <format dxfId="18">
      <pivotArea type="topRight" dataOnly="0" labelOnly="1" outline="0" fieldPosition="0"/>
    </format>
    <format dxfId="17">
      <pivotArea field="2" type="button" dataOnly="0" labelOnly="1" outline="0" axis="axisRow" fieldPosition="0"/>
    </format>
    <format dxfId="16">
      <pivotArea dataOnly="0" labelOnly="1" fieldPosition="0">
        <references count="1">
          <reference field="4" count="0"/>
        </references>
      </pivotArea>
    </format>
    <format dxfId="15">
      <pivotArea dataOnly="0" labelOnly="1" grandCol="1" outline="0" fieldPosition="0"/>
    </format>
    <format dxfId="14">
      <pivotArea type="origin" dataOnly="0" labelOnly="1" outline="0" fieldPosition="0"/>
    </format>
    <format dxfId="13">
      <pivotArea field="4" type="button" dataOnly="0" labelOnly="1" outline="0" axis="axisCol" fieldPosition="0"/>
    </format>
    <format dxfId="12">
      <pivotArea type="topRight" dataOnly="0" labelOnly="1" outline="0" fieldPosition="0"/>
    </format>
    <format dxfId="11">
      <pivotArea field="2" type="button" dataOnly="0" labelOnly="1" outline="0" axis="axisRow" fieldPosition="0"/>
    </format>
    <format dxfId="10">
      <pivotArea dataOnly="0" labelOnly="1" fieldPosition="0">
        <references count="1">
          <reference field="4" count="0"/>
        </references>
      </pivotArea>
    </format>
    <format dxfId="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7DEADA-9D24-4074-B714-D4F1DB0915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D22" firstHeaderRow="1" firstDataRow="2" firstDataCol="1"/>
  <pivotFields count="9">
    <pivotField dataField="1" showAll="0"/>
    <pivotField showAll="0">
      <items count="3">
        <item x="0"/>
        <item x="1"/>
        <item t="default"/>
      </items>
    </pivotField>
    <pivotField axis="axisRow" showAll="0">
      <items count="7">
        <item x="2"/>
        <item x="5"/>
        <item x="4"/>
        <item x="3"/>
        <item x="1"/>
        <item x="0"/>
        <item t="default"/>
      </items>
    </pivotField>
    <pivotField numFmtId="14" showAll="0"/>
    <pivotField axis="axisCol"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2"/>
  </rowFields>
  <rowItems count="7">
    <i>
      <x/>
    </i>
    <i>
      <x v="1"/>
    </i>
    <i>
      <x v="2"/>
    </i>
    <i>
      <x v="3"/>
    </i>
    <i>
      <x v="4"/>
    </i>
    <i>
      <x v="5"/>
    </i>
    <i t="grand">
      <x/>
    </i>
  </rowItems>
  <colFields count="1">
    <field x="4"/>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94A8FF-F653-4AF2-BC86-EE8B998172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9">
    <pivotField dataField="1" showAll="0"/>
    <pivotField axis="axisRow"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1"/>
  </rowFields>
  <rowItems count="3">
    <i>
      <x/>
    </i>
    <i>
      <x v="1"/>
    </i>
    <i t="grand">
      <x/>
    </i>
  </rowItems>
  <colFields count="1">
    <field x="4"/>
  </colFields>
  <colItems count="3">
    <i>
      <x/>
    </i>
    <i>
      <x v="1"/>
    </i>
    <i t="grand">
      <x/>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012879-4CBD-47FE-9167-7A990D79B9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D13" firstHeaderRow="1" firstDataRow="2" firstDataCol="1"/>
  <pivotFields count="9">
    <pivotField dataField="1" showAll="0"/>
    <pivotField axis="axisRow"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1"/>
  </rowFields>
  <rowItems count="3">
    <i>
      <x/>
    </i>
    <i>
      <x v="1"/>
    </i>
    <i t="grand">
      <x/>
    </i>
  </rowItems>
  <colFields count="1">
    <field x="4"/>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A55F8A-9A03-4340-BC48-0D479DD1C60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showAll="0"/>
    <pivotField showAll="0">
      <items count="4">
        <item x="1"/>
        <item x="2"/>
        <item x="0"/>
        <item t="default"/>
      </items>
    </pivotField>
    <pivotField axis="axisRow" showAll="0">
      <items count="3">
        <item x="1"/>
        <item x="0"/>
        <item t="default"/>
      </items>
    </pivotField>
    <pivotField showAll="0"/>
  </pivotFields>
  <rowFields count="1">
    <field x="7"/>
  </rowFields>
  <rowItems count="3">
    <i>
      <x/>
    </i>
    <i>
      <x v="1"/>
    </i>
    <i t="grand">
      <x/>
    </i>
  </rowItems>
  <colFields count="1">
    <field x="4"/>
  </colFields>
  <colItems count="3">
    <i>
      <x/>
    </i>
    <i>
      <x v="1"/>
    </i>
    <i t="grand">
      <x/>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3CC119-F342-4C9F-99E1-290345C27F4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5"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showAll="0"/>
    <pivotField showAll="0">
      <items count="4">
        <item x="1"/>
        <item x="2"/>
        <item x="0"/>
        <item t="default"/>
      </items>
    </pivotField>
    <pivotField axis="axisRow" showAll="0">
      <items count="3">
        <item x="1"/>
        <item x="0"/>
        <item t="default"/>
      </items>
    </pivotField>
    <pivotField showAll="0"/>
  </pivotFields>
  <rowFields count="1">
    <field x="7"/>
  </rowFields>
  <rowItems count="3">
    <i>
      <x/>
    </i>
    <i>
      <x v="1"/>
    </i>
    <i t="grand">
      <x/>
    </i>
  </rowItems>
  <colFields count="1">
    <field x="4"/>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BB0079-11F1-435B-9C6E-63BB3D56C2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axis="axisRow" showAll="0">
      <items count="3">
        <item x="0"/>
        <item x="1"/>
        <item t="default"/>
      </items>
    </pivotField>
    <pivotField showAll="0">
      <items count="4">
        <item x="1"/>
        <item x="2"/>
        <item x="0"/>
        <item t="default"/>
      </items>
    </pivotField>
    <pivotField showAll="0">
      <items count="3">
        <item x="1"/>
        <item x="0"/>
        <item t="default"/>
      </items>
    </pivotField>
    <pivotField showAll="0"/>
  </pivotFields>
  <rowFields count="1">
    <field x="5"/>
  </rowFields>
  <rowItems count="3">
    <i>
      <x/>
    </i>
    <i>
      <x v="1"/>
    </i>
    <i t="grand">
      <x/>
    </i>
  </rowItems>
  <colFields count="1">
    <field x="4"/>
  </colFields>
  <colItems count="3">
    <i>
      <x/>
    </i>
    <i>
      <x v="1"/>
    </i>
    <i t="grand">
      <x/>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C1F6D3-F219-4CA0-ADAF-370CF6E90F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5"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axis="axisRow" showAll="0">
      <items count="3">
        <item x="0"/>
        <item x="1"/>
        <item t="default"/>
      </items>
    </pivotField>
    <pivotField showAll="0">
      <items count="4">
        <item x="1"/>
        <item x="2"/>
        <item x="0"/>
        <item t="default"/>
      </items>
    </pivotField>
    <pivotField showAll="0">
      <items count="3">
        <item x="1"/>
        <item x="0"/>
        <item t="default"/>
      </items>
    </pivotField>
    <pivotField showAll="0"/>
  </pivotFields>
  <rowFields count="1">
    <field x="5"/>
  </rowFields>
  <rowItems count="3">
    <i>
      <x/>
    </i>
    <i>
      <x v="1"/>
    </i>
    <i t="grand">
      <x/>
    </i>
  </rowItems>
  <colFields count="1">
    <field x="4"/>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52CFFB-9A73-4EFD-AF27-24677F08CFA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D17"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showAll="0"/>
    <pivotField axis="axisRow" showAll="0">
      <items count="4">
        <item x="1"/>
        <item x="2"/>
        <item x="0"/>
        <item t="default"/>
      </items>
    </pivotField>
    <pivotField showAll="0">
      <items count="3">
        <item x="1"/>
        <item x="0"/>
        <item t="default"/>
      </items>
    </pivotField>
    <pivotField showAll="0"/>
  </pivotFields>
  <rowFields count="1">
    <field x="6"/>
  </rowFields>
  <rowItems count="4">
    <i>
      <x/>
    </i>
    <i>
      <x v="1"/>
    </i>
    <i>
      <x v="2"/>
    </i>
    <i t="grand">
      <x/>
    </i>
  </rowItems>
  <colFields count="1">
    <field x="4"/>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BF2AF1-9551-45E5-8B4B-CAE168F4C68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showAll="0"/>
    <pivotField axis="axisRow" showAll="0">
      <items count="4">
        <item x="1"/>
        <item x="2"/>
        <item x="0"/>
        <item t="default"/>
      </items>
    </pivotField>
    <pivotField showAll="0">
      <items count="3">
        <item x="1"/>
        <item x="0"/>
        <item t="default"/>
      </items>
    </pivotField>
    <pivotField showAll="0"/>
  </pivotFields>
  <rowFields count="1">
    <field x="6"/>
  </rowFields>
  <rowItems count="4">
    <i>
      <x/>
    </i>
    <i>
      <x v="1"/>
    </i>
    <i>
      <x v="2"/>
    </i>
    <i t="grand">
      <x/>
    </i>
  </rowItems>
  <colFields count="1">
    <field x="4"/>
  </colFields>
  <colItems count="3">
    <i>
      <x/>
    </i>
    <i>
      <x v="1"/>
    </i>
    <i t="grand">
      <x/>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DBF130-5841-4318-9731-90033DBB2C3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D72"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axis="axisRow" numFmtId="14" showAll="0">
      <items count="32">
        <item x="0"/>
        <item x="1"/>
        <item x="2"/>
        <item x="3"/>
        <item x="4"/>
        <item x="5"/>
        <item x="6"/>
        <item x="7"/>
        <item x="8"/>
        <item x="9"/>
        <item x="10"/>
        <item x="11"/>
        <item x="12"/>
        <item x="13"/>
        <item x="14"/>
        <item x="15"/>
        <item x="16"/>
        <item x="17"/>
        <item x="18"/>
        <item x="19"/>
        <item x="24"/>
        <item x="20"/>
        <item x="22"/>
        <item x="25"/>
        <item x="28"/>
        <item x="21"/>
        <item x="23"/>
        <item x="29"/>
        <item x="27"/>
        <item x="26"/>
        <item x="30"/>
        <item t="default"/>
      </items>
    </pivotField>
    <pivotField axis="axisCol"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4"/>
  </colFields>
  <colItems count="3">
    <i>
      <x/>
    </i>
    <i>
      <x v="1"/>
    </i>
    <i t="grand">
      <x/>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D65404D-FE53-47D4-B59D-97321D5C9E0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36"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axis="axisRow" numFmtId="14" showAll="0">
      <items count="32">
        <item x="0"/>
        <item x="1"/>
        <item x="2"/>
        <item x="3"/>
        <item x="4"/>
        <item x="5"/>
        <item x="6"/>
        <item x="7"/>
        <item x="8"/>
        <item x="9"/>
        <item x="10"/>
        <item x="11"/>
        <item x="12"/>
        <item x="13"/>
        <item x="14"/>
        <item x="15"/>
        <item x="16"/>
        <item x="17"/>
        <item x="18"/>
        <item x="19"/>
        <item x="24"/>
        <item x="20"/>
        <item x="22"/>
        <item x="25"/>
        <item x="28"/>
        <item x="21"/>
        <item x="23"/>
        <item x="29"/>
        <item x="27"/>
        <item x="26"/>
        <item x="30"/>
        <item t="default"/>
      </items>
    </pivotField>
    <pivotField axis="axisCol"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4"/>
  </colFields>
  <colItems count="3">
    <i>
      <x/>
    </i>
    <i>
      <x v="1"/>
    </i>
    <i t="grand">
      <x/>
    </i>
  </colItems>
  <dataFields count="1">
    <dataField name="Count of Client ID" fld="0" subtotal="count" showDataAs="percentOfRow" baseField="0" baseItem="0" numFmtId="10"/>
  </dataFields>
  <chartFormats count="2">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6CA499-5DAB-4244-A7BD-E98EB290A17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showAll="0"/>
    <pivotField showAll="0">
      <items count="4">
        <item x="1"/>
        <item x="2"/>
        <item x="0"/>
        <item t="default"/>
      </items>
    </pivotField>
    <pivotField showAll="0">
      <items count="3">
        <item x="1"/>
        <item x="0"/>
        <item t="default"/>
      </items>
    </pivotField>
    <pivotField axis="axisRow" showAll="0">
      <items count="6">
        <item x="0"/>
        <item x="1"/>
        <item x="2"/>
        <item x="3"/>
        <item x="4"/>
        <item t="default"/>
      </items>
    </pivotField>
  </pivotFields>
  <rowFields count="1">
    <field x="8"/>
  </rowFields>
  <rowItems count="6">
    <i>
      <x/>
    </i>
    <i>
      <x v="1"/>
    </i>
    <i>
      <x v="2"/>
    </i>
    <i>
      <x v="3"/>
    </i>
    <i>
      <x v="4"/>
    </i>
    <i t="grand">
      <x/>
    </i>
  </rowItems>
  <colFields count="1">
    <field x="4"/>
  </colFields>
  <colItems count="3">
    <i>
      <x/>
    </i>
    <i>
      <x v="1"/>
    </i>
    <i t="grand">
      <x/>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5127A8-F3D6-49B1-AF31-E3B9565B64E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21" firstHeaderRow="1" firstDataRow="2" firstDataCol="1"/>
  <pivotFields count="9">
    <pivotField dataField="1" showAll="0"/>
    <pivotField showAll="0">
      <items count="3">
        <item x="0"/>
        <item x="1"/>
        <item t="default"/>
      </items>
    </pivotField>
    <pivotField showAll="0">
      <items count="7">
        <item x="2"/>
        <item x="5"/>
        <item x="4"/>
        <item x="3"/>
        <item x="1"/>
        <item x="0"/>
        <item t="default"/>
      </items>
    </pivotField>
    <pivotField numFmtId="14" showAll="0"/>
    <pivotField axis="axisCol" showAll="0">
      <items count="3">
        <item x="1"/>
        <item x="0"/>
        <item t="default"/>
      </items>
    </pivotField>
    <pivotField showAll="0"/>
    <pivotField showAll="0">
      <items count="4">
        <item x="1"/>
        <item x="2"/>
        <item x="0"/>
        <item t="default"/>
      </items>
    </pivotField>
    <pivotField showAll="0">
      <items count="3">
        <item x="1"/>
        <item x="0"/>
        <item t="default"/>
      </items>
    </pivotField>
    <pivotField axis="axisRow" showAll="0">
      <items count="6">
        <item x="0"/>
        <item x="1"/>
        <item x="2"/>
        <item x="3"/>
        <item x="4"/>
        <item t="default"/>
      </items>
    </pivotField>
  </pivotFields>
  <rowFields count="1">
    <field x="8"/>
  </rowFields>
  <rowItems count="6">
    <i>
      <x/>
    </i>
    <i>
      <x v="1"/>
    </i>
    <i>
      <x v="2"/>
    </i>
    <i>
      <x v="3"/>
    </i>
    <i>
      <x v="4"/>
    </i>
    <i t="grand">
      <x/>
    </i>
  </rowItems>
  <colFields count="1">
    <field x="4"/>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267CFFA-2DC0-4050-8DF4-BB37565CEB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D45" firstHeaderRow="1" firstDataRow="2" firstDataCol="1"/>
  <pivotFields count="9">
    <pivotField dataField="1" showAll="0"/>
    <pivotField showAll="0">
      <items count="3">
        <item x="0"/>
        <item x="1"/>
        <item t="default"/>
      </items>
    </pivotField>
    <pivotField axis="axisRow" showAll="0">
      <items count="7">
        <item x="2"/>
        <item x="5"/>
        <item x="4"/>
        <item x="3"/>
        <item x="1"/>
        <item x="0"/>
        <item t="default"/>
      </items>
    </pivotField>
    <pivotField numFmtId="14" showAll="0"/>
    <pivotField showAll="0">
      <items count="3">
        <item x="1"/>
        <item x="0"/>
        <item t="default"/>
      </items>
    </pivotField>
    <pivotField axis="axisCol" showAll="0">
      <items count="3">
        <item x="0"/>
        <item x="1"/>
        <item t="default"/>
      </items>
    </pivotField>
    <pivotField showAll="0">
      <items count="4">
        <item x="1"/>
        <item x="2"/>
        <item x="0"/>
        <item t="default"/>
      </items>
    </pivotField>
    <pivotField showAll="0">
      <items count="3">
        <item x="1"/>
        <item x="0"/>
        <item t="default"/>
      </items>
    </pivotField>
    <pivotField showAll="0">
      <items count="6">
        <item x="0"/>
        <item x="1"/>
        <item x="2"/>
        <item x="3"/>
        <item x="4"/>
        <item t="default"/>
      </items>
    </pivotField>
  </pivotFields>
  <rowFields count="1">
    <field x="2"/>
  </rowFields>
  <rowItems count="7">
    <i>
      <x/>
    </i>
    <i>
      <x v="1"/>
    </i>
    <i>
      <x v="2"/>
    </i>
    <i>
      <x v="3"/>
    </i>
    <i>
      <x v="4"/>
    </i>
    <i>
      <x v="5"/>
    </i>
    <i t="grand">
      <x/>
    </i>
  </rowItems>
  <colFields count="1">
    <field x="5"/>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CE3DF9-91B5-42D3-9263-652D94025B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E56" firstHeaderRow="1" firstDataRow="2" firstDataCol="1"/>
  <pivotFields count="9">
    <pivotField dataField="1" showAll="0"/>
    <pivotField showAll="0">
      <items count="3">
        <item x="0"/>
        <item x="1"/>
        <item t="default"/>
      </items>
    </pivotField>
    <pivotField axis="axisRow" showAll="0">
      <items count="7">
        <item x="2"/>
        <item x="5"/>
        <item x="4"/>
        <item x="3"/>
        <item x="1"/>
        <item x="0"/>
        <item t="default"/>
      </items>
    </pivotField>
    <pivotField numFmtId="14" showAll="0"/>
    <pivotField showAll="0">
      <items count="3">
        <item x="1"/>
        <item x="0"/>
        <item t="default"/>
      </items>
    </pivotField>
    <pivotField showAll="0">
      <items count="3">
        <item x="0"/>
        <item x="1"/>
        <item t="default"/>
      </items>
    </pivotField>
    <pivotField axis="axisCol" showAll="0">
      <items count="4">
        <item x="1"/>
        <item x="2"/>
        <item x="0"/>
        <item t="default"/>
      </items>
    </pivotField>
    <pivotField showAll="0">
      <items count="3">
        <item x="1"/>
        <item x="0"/>
        <item t="default"/>
      </items>
    </pivotField>
    <pivotField showAll="0">
      <items count="6">
        <item x="0"/>
        <item x="1"/>
        <item x="2"/>
        <item x="3"/>
        <item x="4"/>
        <item t="default"/>
      </items>
    </pivotField>
  </pivotFields>
  <rowFields count="1">
    <field x="2"/>
  </rowFields>
  <rowItems count="7">
    <i>
      <x/>
    </i>
    <i>
      <x v="1"/>
    </i>
    <i>
      <x v="2"/>
    </i>
    <i>
      <x v="3"/>
    </i>
    <i>
      <x v="4"/>
    </i>
    <i>
      <x v="5"/>
    </i>
    <i t="grand">
      <x/>
    </i>
  </rowItems>
  <colFields count="1">
    <field x="6"/>
  </colFields>
  <colItems count="4">
    <i>
      <x/>
    </i>
    <i>
      <x v="1"/>
    </i>
    <i>
      <x v="2"/>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C5B95E0-1E57-4D0A-AA5D-A5756A3026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G34" firstHeaderRow="1" firstDataRow="2" firstDataCol="1"/>
  <pivotFields count="9">
    <pivotField dataField="1" showAll="0"/>
    <pivotField showAll="0">
      <items count="3">
        <item x="0"/>
        <item x="1"/>
        <item t="default"/>
      </items>
    </pivotField>
    <pivotField axis="axisRow" showAll="0">
      <items count="7">
        <item x="2"/>
        <item x="5"/>
        <item x="4"/>
        <item x="3"/>
        <item x="1"/>
        <item x="0"/>
        <item t="default"/>
      </items>
    </pivotField>
    <pivotField numFmtId="14" showAll="0"/>
    <pivotField showAll="0">
      <items count="3">
        <item x="1"/>
        <item x="0"/>
        <item t="default"/>
      </items>
    </pivotField>
    <pivotField showAll="0"/>
    <pivotField showAll="0">
      <items count="4">
        <item x="1"/>
        <item x="2"/>
        <item x="0"/>
        <item t="default"/>
      </items>
    </pivotField>
    <pivotField showAll="0">
      <items count="3">
        <item x="1"/>
        <item x="0"/>
        <item t="default"/>
      </items>
    </pivotField>
    <pivotField axis="axisCol" showAll="0">
      <items count="6">
        <item x="0"/>
        <item x="1"/>
        <item x="2"/>
        <item x="3"/>
        <item x="4"/>
        <item t="default"/>
      </items>
    </pivotField>
  </pivotFields>
  <rowFields count="1">
    <field x="2"/>
  </rowFields>
  <rowItems count="7">
    <i>
      <x/>
    </i>
    <i>
      <x v="1"/>
    </i>
    <i>
      <x v="2"/>
    </i>
    <i>
      <x v="3"/>
    </i>
    <i>
      <x v="4"/>
    </i>
    <i>
      <x v="5"/>
    </i>
    <i t="grand">
      <x/>
    </i>
  </rowItems>
  <colFields count="1">
    <field x="8"/>
  </colFields>
  <colItems count="6">
    <i>
      <x/>
    </i>
    <i>
      <x v="1"/>
    </i>
    <i>
      <x v="2"/>
    </i>
    <i>
      <x v="3"/>
    </i>
    <i>
      <x v="4"/>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ECEF76-3B0B-4832-ABFE-24EE715B16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D23" firstHeaderRow="1" firstDataRow="2" firstDataCol="1"/>
  <pivotFields count="9">
    <pivotField dataField="1" showAll="0"/>
    <pivotField axis="axisCol" showAll="0">
      <items count="3">
        <item x="0"/>
        <item x="1"/>
        <item t="default"/>
      </items>
    </pivotField>
    <pivotField axis="axisRow" showAll="0">
      <items count="7">
        <item x="2"/>
        <item x="5"/>
        <item x="4"/>
        <item x="3"/>
        <item x="1"/>
        <item x="0"/>
        <item t="default"/>
      </items>
    </pivotField>
    <pivotField numFmtId="14" showAll="0"/>
    <pivotField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2"/>
  </rowFields>
  <rowItems count="7">
    <i>
      <x/>
    </i>
    <i>
      <x v="1"/>
    </i>
    <i>
      <x v="2"/>
    </i>
    <i>
      <x v="3"/>
    </i>
    <i>
      <x v="4"/>
    </i>
    <i>
      <x v="5"/>
    </i>
    <i t="grand">
      <x/>
    </i>
  </rowItems>
  <colFields count="1">
    <field x="1"/>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24B231F-F34C-485E-AC99-BBAFA0076C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9">
    <pivotField dataField="1" showAll="0"/>
    <pivotField showAll="0">
      <items count="3">
        <item x="0"/>
        <item x="1"/>
        <item t="default"/>
      </items>
    </pivotField>
    <pivotField axis="axisRow" showAll="0">
      <items count="7">
        <item x="2"/>
        <item x="5"/>
        <item x="4"/>
        <item x="3"/>
        <item x="1"/>
        <item x="0"/>
        <item t="default"/>
      </items>
    </pivotField>
    <pivotField numFmtId="14" showAll="0"/>
    <pivotField axis="axisCol" showAll="0">
      <items count="3">
        <item x="1"/>
        <item x="0"/>
        <item t="default"/>
      </items>
    </pivotField>
    <pivotField showAll="0"/>
    <pivotField showAll="0">
      <items count="4">
        <item x="1"/>
        <item x="2"/>
        <item x="0"/>
        <item t="default"/>
      </items>
    </pivotField>
    <pivotField showAll="0">
      <items count="3">
        <item x="1"/>
        <item x="0"/>
        <item t="default"/>
      </items>
    </pivotField>
    <pivotField showAll="0"/>
  </pivotFields>
  <rowFields count="1">
    <field x="2"/>
  </rowFields>
  <rowItems count="7">
    <i>
      <x/>
    </i>
    <i>
      <x v="1"/>
    </i>
    <i>
      <x v="2"/>
    </i>
    <i>
      <x v="3"/>
    </i>
    <i>
      <x v="4"/>
    </i>
    <i>
      <x v="5"/>
    </i>
    <i t="grand">
      <x/>
    </i>
  </rowItems>
  <colFields count="1">
    <field x="4"/>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10F6C4C-FC3D-4B58-B3BF-5C101FF775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D67" firstHeaderRow="1" firstDataRow="2" firstDataCol="1"/>
  <pivotFields count="9">
    <pivotField dataField="1" showAll="0"/>
    <pivotField showAll="0">
      <items count="3">
        <item x="0"/>
        <item x="1"/>
        <item t="default"/>
      </items>
    </pivotField>
    <pivotField axis="axisRow" showAll="0">
      <items count="7">
        <item x="2"/>
        <item x="5"/>
        <item x="4"/>
        <item x="3"/>
        <item x="1"/>
        <item x="0"/>
        <item t="default"/>
      </items>
    </pivotField>
    <pivotField numFmtId="14" showAll="0"/>
    <pivotField showAll="0">
      <items count="3">
        <item x="1"/>
        <item x="0"/>
        <item t="default"/>
      </items>
    </pivotField>
    <pivotField showAll="0">
      <items count="3">
        <item x="0"/>
        <item x="1"/>
        <item t="default"/>
      </items>
    </pivotField>
    <pivotField showAll="0">
      <items count="4">
        <item x="1"/>
        <item x="2"/>
        <item x="0"/>
        <item t="default"/>
      </items>
    </pivotField>
    <pivotField axis="axisCol" showAll="0">
      <items count="3">
        <item x="1"/>
        <item x="0"/>
        <item t="default"/>
      </items>
    </pivotField>
    <pivotField showAll="0">
      <items count="6">
        <item x="0"/>
        <item x="1"/>
        <item x="2"/>
        <item x="3"/>
        <item x="4"/>
        <item t="default"/>
      </items>
    </pivotField>
  </pivotFields>
  <rowFields count="1">
    <field x="2"/>
  </rowFields>
  <rowItems count="7">
    <i>
      <x/>
    </i>
    <i>
      <x v="1"/>
    </i>
    <i>
      <x v="2"/>
    </i>
    <i>
      <x v="3"/>
    </i>
    <i>
      <x v="4"/>
    </i>
    <i>
      <x v="5"/>
    </i>
    <i t="grand">
      <x/>
    </i>
  </rowItems>
  <colFields count="1">
    <field x="7"/>
  </colFields>
  <colItems count="3">
    <i>
      <x/>
    </i>
    <i>
      <x v="1"/>
    </i>
    <i t="grand">
      <x/>
    </i>
  </colItems>
  <dataFields count="1">
    <dataField name="Count of Client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884D6B-40E0-433F-80CA-9E1910315D01}" autoFormatId="16" applyNumberFormats="0" applyBorderFormats="0" applyFontFormats="0" applyPatternFormats="0" applyAlignmentFormats="0" applyWidthHeightFormats="0">
  <queryTableRefresh nextId="10">
    <queryTableFields count="9">
      <queryTableField id="1" name="Client ID" tableColumnId="1"/>
      <queryTableField id="2" name="Client Gender " tableColumnId="2"/>
      <queryTableField id="3" name="Sales Person " tableColumnId="3"/>
      <queryTableField id="4" name="Date Given " tableColumnId="4"/>
      <queryTableField id="5" name="Sales" tableColumnId="5"/>
      <queryTableField id="6" name="State       " tableColumnId="6"/>
      <queryTableField id="7" name="Product" tableColumnId="7"/>
      <queryTableField id="8" name="Inspection" tableColumnId="8"/>
      <queryTableField id="9" name="Week of Month"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9DEFAF36-A99B-4A50-931D-139F7D6AB00D}" sourceName="Sales Person ">
  <pivotTables>
    <pivotTable tabId="4" name="PivotTable3"/>
    <pivotTable tabId="6" name="PivotTable5"/>
    <pivotTable tabId="6" name="PivotTable6"/>
    <pivotTable tabId="3" name="PivotTable1"/>
    <pivotTable tabId="3" name="PivotTable2"/>
    <pivotTable tabId="12" name="PivotTable1"/>
    <pivotTable tabId="12" name="PivotTable2"/>
    <pivotTable tabId="12" name="PivotTable3"/>
    <pivotTable tabId="12" name="PivotTable5"/>
    <pivotTable tabId="12" name="PivotTable6"/>
    <pivotTable tabId="12" name="PivotTable7"/>
    <pivotTable tabId="10" name="PivotTable13"/>
    <pivotTable tabId="10" name="PivotTable14"/>
    <pivotTable tabId="7" name="PivotTable7"/>
    <pivotTable tabId="7" name="PivotTable8"/>
    <pivotTable tabId="9" name="PivotTable11"/>
    <pivotTable tabId="9" name="PivotTable12"/>
    <pivotTable tabId="4" name="PivotTable4"/>
    <pivotTable tabId="8" name="PivotTable10"/>
    <pivotTable tabId="8" name="PivotTable9"/>
    <pivotTable tabId="11" name="PivotTable15"/>
    <pivotTable tabId="11" name="PivotTable16"/>
  </pivotTables>
  <data>
    <tabular pivotCacheId="1960374083">
      <items count="6">
        <i x="2" s="1"/>
        <i x="5" s="1"/>
        <i x="4"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Gender" xr10:uid="{148C8BEA-8D1E-468B-93AB-A5AB54A7B747}" sourceName="Client Gender ">
  <pivotTables>
    <pivotTable tabId="6" name="PivotTable6"/>
    <pivotTable tabId="6" name="PivotTable5"/>
    <pivotTable tabId="3" name="PivotTable1"/>
    <pivotTable tabId="3" name="PivotTable2"/>
    <pivotTable tabId="12" name="PivotTable1"/>
    <pivotTable tabId="12" name="PivotTable2"/>
    <pivotTable tabId="12" name="PivotTable3"/>
    <pivotTable tabId="12" name="PivotTable5"/>
    <pivotTable tabId="12" name="PivotTable6"/>
    <pivotTable tabId="12" name="PivotTable7"/>
    <pivotTable tabId="10" name="PivotTable13"/>
    <pivotTable tabId="10" name="PivotTable14"/>
    <pivotTable tabId="7" name="PivotTable7"/>
    <pivotTable tabId="7" name="PivotTable8"/>
    <pivotTable tabId="9" name="PivotTable11"/>
    <pivotTable tabId="9" name="PivotTable12"/>
    <pivotTable tabId="4" name="PivotTable3"/>
    <pivotTable tabId="4" name="PivotTable4"/>
    <pivotTable tabId="8" name="PivotTable10"/>
    <pivotTable tabId="8" name="PivotTable9"/>
    <pivotTable tabId="11" name="PivotTable15"/>
    <pivotTable tabId="11" name="PivotTable16"/>
  </pivotTables>
  <data>
    <tabular pivotCacheId="196037408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ED9E249-2F09-4732-A0D0-5B65C9133C29}" sourceName="Product">
  <pivotTables>
    <pivotTable tabId="9" name="PivotTable12"/>
    <pivotTable tabId="6" name="PivotTable5"/>
    <pivotTable tabId="6" name="PivotTable6"/>
    <pivotTable tabId="3" name="PivotTable1"/>
    <pivotTable tabId="3" name="PivotTable2"/>
    <pivotTable tabId="12" name="PivotTable1"/>
    <pivotTable tabId="12" name="PivotTable2"/>
    <pivotTable tabId="12" name="PivotTable3"/>
    <pivotTable tabId="12" name="PivotTable5"/>
    <pivotTable tabId="12" name="PivotTable6"/>
    <pivotTable tabId="12" name="PivotTable7"/>
    <pivotTable tabId="10" name="PivotTable13"/>
    <pivotTable tabId="10" name="PivotTable14"/>
    <pivotTable tabId="7" name="PivotTable7"/>
    <pivotTable tabId="7" name="PivotTable8"/>
    <pivotTable tabId="9" name="PivotTable11"/>
    <pivotTable tabId="4" name="PivotTable3"/>
    <pivotTable tabId="4" name="PivotTable4"/>
    <pivotTable tabId="8" name="PivotTable10"/>
    <pivotTable tabId="8" name="PivotTable9"/>
    <pivotTable tabId="11" name="PivotTable15"/>
    <pivotTable tabId="11" name="PivotTable16"/>
  </pivotTables>
  <data>
    <tabular pivotCacheId="1960374083">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 xr10:uid="{AB5A0E34-5CD8-4B0D-B849-34DDC64E3EC8}" sourceName="Inspection">
  <pivotTables>
    <pivotTable tabId="7" name="PivotTable8"/>
    <pivotTable tabId="6" name="PivotTable5"/>
    <pivotTable tabId="6" name="PivotTable6"/>
    <pivotTable tabId="3" name="PivotTable1"/>
    <pivotTable tabId="3" name="PivotTable2"/>
    <pivotTable tabId="12" name="PivotTable1"/>
    <pivotTable tabId="12" name="PivotTable2"/>
    <pivotTable tabId="12" name="PivotTable3"/>
    <pivotTable tabId="12" name="PivotTable5"/>
    <pivotTable tabId="12" name="PivotTable6"/>
    <pivotTable tabId="12" name="PivotTable7"/>
    <pivotTable tabId="10" name="PivotTable13"/>
    <pivotTable tabId="10" name="PivotTable14"/>
    <pivotTable tabId="7" name="PivotTable7"/>
    <pivotTable tabId="9" name="PivotTable11"/>
    <pivotTable tabId="9" name="PivotTable12"/>
    <pivotTable tabId="4" name="PivotTable3"/>
    <pivotTable tabId="4" name="PivotTable4"/>
    <pivotTable tabId="8" name="PivotTable10"/>
    <pivotTable tabId="8" name="PivotTable9"/>
    <pivotTable tabId="11" name="PivotTable15"/>
    <pivotTable tabId="11" name="PivotTable16"/>
  </pivotTables>
  <data>
    <tabular pivotCacheId="196037408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 xr10:uid="{2F36F3E5-D149-4936-83B6-866EAEB94995}" cache="Slicer_Sales_Person" caption="Sales Person "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Gender " xr10:uid="{463AF09B-EE82-48D0-A16E-151FF68B27D9}" cache="Slicer_Client_Gender" caption="Client Gender "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pection" xr10:uid="{5D76D6BE-E50C-4A68-BE59-BC05EE0D5CEA}" cache="Slicer_Inspection" caption="Inspection"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EBE4648-6A07-4AF3-BD14-2FCD200DDE61}" cache="Slicer_Product" caption="Product"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9CA8157F-9627-4505-999D-3335089FD348}" cache="Slicer_Sales_Person" caption="Sales Person " columnCount="3" showCaption="0" style="Slicer Style 1" rowHeight="257175"/>
  <slicer name="Client Gender  1" xr10:uid="{B34C2B70-64D5-43D8-B7F3-A44A7EF5B5AB}" cache="Slicer_Client_Gender" caption="Client Gender " showCaption="0" style="Slicer Style 2" rowHeight="257175"/>
  <slicer name="Product 1" xr10:uid="{3F58DC30-B84B-447A-981C-6CD47A403D6B}" cache="Slicer_Product" caption="Product" columnCount="3" showCaption="0" style="Slicer Style 3" rowHeight="257175"/>
  <slicer name="Inspection 1" xr10:uid="{BF31862B-6F97-431C-AE2E-AFC779B3D59B}" cache="Slicer_Inspection" caption="Inspection" columnCount="2" showCaption="0" style="Slicer Style 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C7297E-E248-4601-A790-C36A98B0C31C}" name="Data" displayName="Data" ref="A1:I226" tableType="queryTable" totalsRowShown="0">
  <autoFilter ref="A1:I226" xr:uid="{04C7297E-E248-4601-A790-C36A98B0C31C}"/>
  <tableColumns count="9">
    <tableColumn id="1" xr3:uid="{A0DA4028-6254-4C8C-BCF7-9168D85CAD7C}" uniqueName="1" name="Client ID" queryTableFieldId="1" dataDxfId="8"/>
    <tableColumn id="2" xr3:uid="{02A4BD4A-E8DD-4866-9FB9-1831D9C0A3A1}" uniqueName="2" name="Client Gender " queryTableFieldId="2" dataDxfId="7"/>
    <tableColumn id="3" xr3:uid="{2D128BCD-3CC0-4F59-8CF4-815E39C70E68}" uniqueName="3" name="Sales Person " queryTableFieldId="3" dataDxfId="6"/>
    <tableColumn id="4" xr3:uid="{D32EE341-3D94-44BD-9261-3B1CD57ED448}" uniqueName="4" name="Date Given " queryTableFieldId="4" dataDxfId="5"/>
    <tableColumn id="5" xr3:uid="{44AE761F-FC9B-4961-9F37-5BA47AB25AE2}" uniqueName="5" name="Sales" queryTableFieldId="5" dataDxfId="4"/>
    <tableColumn id="6" xr3:uid="{A05975C5-223B-470B-8FD4-D6029AA85AA1}" uniqueName="6" name="State       " queryTableFieldId="6" dataDxfId="3"/>
    <tableColumn id="7" xr3:uid="{57EF19BC-3309-4ED8-A26F-34BFFF384177}" uniqueName="7" name="Product" queryTableFieldId="7" dataDxfId="2"/>
    <tableColumn id="8" xr3:uid="{C9029459-56DB-44DC-9037-3F8D4FE3A575}" uniqueName="8" name="Inspection" queryTableFieldId="8" dataDxfId="1"/>
    <tableColumn id="9" xr3:uid="{A1AA4B47-7AD9-40B2-A662-DDC6F63C4E64}" uniqueName="9" name="Week of Month"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E51B2-1D4E-4284-A878-58C64B5F25F6}">
  <sheetPr>
    <tabColor rgb="FFFF0000"/>
  </sheetPr>
  <dimension ref="A1:J12"/>
  <sheetViews>
    <sheetView zoomScale="62" zoomScaleNormal="49" workbookViewId="0">
      <selection activeCell="F17" sqref="F17"/>
    </sheetView>
  </sheetViews>
  <sheetFormatPr defaultRowHeight="15" x14ac:dyDescent="0.25"/>
  <cols>
    <col min="1" max="1" width="19" bestFit="1" customWidth="1"/>
    <col min="2" max="2" width="23.7109375" bestFit="1" customWidth="1"/>
    <col min="10" max="10" width="23" bestFit="1" customWidth="1"/>
  </cols>
  <sheetData>
    <row r="1" spans="1:10" x14ac:dyDescent="0.25">
      <c r="F1" t="s">
        <v>266</v>
      </c>
      <c r="G1" t="s">
        <v>265</v>
      </c>
      <c r="I1" t="s">
        <v>273</v>
      </c>
      <c r="J1" t="s">
        <v>265</v>
      </c>
    </row>
    <row r="2" spans="1:10" x14ac:dyDescent="0.25">
      <c r="F2" t="s">
        <v>267</v>
      </c>
      <c r="G2" s="10">
        <v>0.25</v>
      </c>
      <c r="I2" t="s">
        <v>274</v>
      </c>
      <c r="J2" s="4">
        <f>IFERROR(D11,0)</f>
        <v>0.44444444444444442</v>
      </c>
    </row>
    <row r="3" spans="1:10" x14ac:dyDescent="0.25">
      <c r="A3" s="2" t="s">
        <v>250</v>
      </c>
      <c r="B3" t="s">
        <v>252</v>
      </c>
      <c r="F3" t="s">
        <v>268</v>
      </c>
      <c r="G3" s="10">
        <v>0.25</v>
      </c>
      <c r="I3" t="s">
        <v>275</v>
      </c>
      <c r="J3" s="10">
        <v>0.02</v>
      </c>
    </row>
    <row r="4" spans="1:10" x14ac:dyDescent="0.25">
      <c r="A4" s="3" t="s">
        <v>18</v>
      </c>
      <c r="B4">
        <v>125</v>
      </c>
      <c r="D4" s="4"/>
      <c r="F4" t="s">
        <v>269</v>
      </c>
      <c r="G4" s="10">
        <v>0.25</v>
      </c>
      <c r="I4" t="s">
        <v>271</v>
      </c>
      <c r="J4" s="5">
        <f>G7-SUM(J2:J3)</f>
        <v>1.5355555555555556</v>
      </c>
    </row>
    <row r="5" spans="1:10" x14ac:dyDescent="0.25">
      <c r="A5" s="3" t="s">
        <v>11</v>
      </c>
      <c r="B5">
        <v>100</v>
      </c>
      <c r="F5" t="s">
        <v>270</v>
      </c>
      <c r="G5" s="10">
        <v>0.25</v>
      </c>
    </row>
    <row r="6" spans="1:10" x14ac:dyDescent="0.25">
      <c r="A6" s="3" t="s">
        <v>251</v>
      </c>
      <c r="B6">
        <v>225</v>
      </c>
      <c r="F6" t="s">
        <v>271</v>
      </c>
      <c r="G6" s="10">
        <v>1</v>
      </c>
    </row>
    <row r="7" spans="1:10" x14ac:dyDescent="0.25">
      <c r="F7" t="s">
        <v>272</v>
      </c>
      <c r="G7" s="10">
        <f>SUM(G2:G6)</f>
        <v>2</v>
      </c>
    </row>
    <row r="9" spans="1:10" x14ac:dyDescent="0.25">
      <c r="A9" s="2" t="s">
        <v>250</v>
      </c>
      <c r="B9" t="s">
        <v>252</v>
      </c>
    </row>
    <row r="10" spans="1:10" x14ac:dyDescent="0.25">
      <c r="A10" s="3" t="s">
        <v>18</v>
      </c>
      <c r="B10" s="5">
        <v>0.55555555555555558</v>
      </c>
    </row>
    <row r="11" spans="1:10" x14ac:dyDescent="0.25">
      <c r="A11" s="3" t="s">
        <v>11</v>
      </c>
      <c r="B11" s="5">
        <v>0.44444444444444442</v>
      </c>
      <c r="D11" s="12">
        <f>IFERROR(GETPIVOTDATA("Client ID",$A$9,"Sales","Paid"),0)</f>
        <v>0.44444444444444442</v>
      </c>
    </row>
    <row r="12" spans="1:10" x14ac:dyDescent="0.25">
      <c r="A12" s="3" t="s">
        <v>251</v>
      </c>
      <c r="B12" s="5">
        <v>1</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40F7-4C30-4EC0-A2E5-73CC99177320}">
  <sheetPr>
    <tabColor theme="7"/>
  </sheetPr>
  <dimension ref="A3:I30"/>
  <sheetViews>
    <sheetView zoomScale="81" zoomScaleNormal="85" workbookViewId="0">
      <selection activeCell="A3" sqref="A3:D4"/>
    </sheetView>
  </sheetViews>
  <sheetFormatPr defaultRowHeight="15" x14ac:dyDescent="0.25"/>
  <cols>
    <col min="1" max="1" width="17.5703125" bestFit="1" customWidth="1"/>
    <col min="2" max="2" width="17.28515625" bestFit="1" customWidth="1"/>
    <col min="3" max="3" width="7.5703125" bestFit="1" customWidth="1"/>
    <col min="4" max="4" width="11.28515625" bestFit="1" customWidth="1"/>
    <col min="5" max="6" width="4" bestFit="1" customWidth="1"/>
    <col min="7" max="7" width="8.140625" bestFit="1" customWidth="1"/>
    <col min="8" max="8" width="5.85546875" bestFit="1" customWidth="1"/>
    <col min="9" max="13" width="4" bestFit="1" customWidth="1"/>
    <col min="14" max="14" width="3" bestFit="1" customWidth="1"/>
    <col min="15" max="24" width="4" bestFit="1" customWidth="1"/>
    <col min="25" max="25" width="3" bestFit="1" customWidth="1"/>
    <col min="26" max="35" width="4" bestFit="1" customWidth="1"/>
    <col min="36" max="36" width="3" bestFit="1" customWidth="1"/>
    <col min="37" max="46" width="4" bestFit="1" customWidth="1"/>
    <col min="47" max="47" width="3" bestFit="1" customWidth="1"/>
    <col min="48" max="57" width="4" bestFit="1" customWidth="1"/>
    <col min="58" max="58" width="3" bestFit="1" customWidth="1"/>
    <col min="59" max="68" width="4" bestFit="1" customWidth="1"/>
    <col min="69" max="69" width="3" bestFit="1" customWidth="1"/>
    <col min="70" max="79" width="4" bestFit="1" customWidth="1"/>
    <col min="80" max="80" width="3" bestFit="1" customWidth="1"/>
    <col min="81" max="90" width="4" bestFit="1" customWidth="1"/>
    <col min="91" max="91" width="3" bestFit="1" customWidth="1"/>
    <col min="92" max="101" width="4" bestFit="1" customWidth="1"/>
    <col min="102" max="102" width="3" bestFit="1" customWidth="1"/>
    <col min="103" max="112" width="4" bestFit="1" customWidth="1"/>
    <col min="113" max="113" width="2" bestFit="1" customWidth="1"/>
    <col min="114" max="114" width="3" bestFit="1" customWidth="1"/>
    <col min="115" max="124" width="4" bestFit="1" customWidth="1"/>
    <col min="125" max="125" width="3" bestFit="1" customWidth="1"/>
    <col min="126" max="135" width="4" bestFit="1" customWidth="1"/>
    <col min="136" max="136" width="3" bestFit="1" customWidth="1"/>
    <col min="137" max="142" width="4" bestFit="1" customWidth="1"/>
    <col min="143" max="149" width="3" bestFit="1" customWidth="1"/>
    <col min="150" max="150" width="2" bestFit="1" customWidth="1"/>
    <col min="151" max="160" width="3" bestFit="1" customWidth="1"/>
    <col min="161" max="161" width="2" bestFit="1" customWidth="1"/>
    <col min="162" max="171" width="3" bestFit="1" customWidth="1"/>
    <col min="172" max="172" width="2" bestFit="1" customWidth="1"/>
    <col min="173" max="182" width="3" bestFit="1" customWidth="1"/>
    <col min="183" max="183" width="2" bestFit="1" customWidth="1"/>
    <col min="184" max="193" width="3" bestFit="1" customWidth="1"/>
    <col min="194" max="194" width="2" bestFit="1" customWidth="1"/>
    <col min="195" max="204" width="3" bestFit="1" customWidth="1"/>
    <col min="205" max="205" width="2" bestFit="1" customWidth="1"/>
    <col min="206" max="215" width="3" bestFit="1" customWidth="1"/>
    <col min="216" max="216" width="2" bestFit="1" customWidth="1"/>
    <col min="217" max="226" width="3" bestFit="1" customWidth="1"/>
    <col min="227" max="227" width="11.28515625" bestFit="1" customWidth="1"/>
  </cols>
  <sheetData>
    <row r="3" spans="1:9" x14ac:dyDescent="0.25">
      <c r="A3" s="15" t="s">
        <v>252</v>
      </c>
      <c r="B3" s="15" t="s">
        <v>253</v>
      </c>
      <c r="C3" s="15"/>
      <c r="D3" s="15"/>
    </row>
    <row r="4" spans="1:9" x14ac:dyDescent="0.25">
      <c r="A4" s="15" t="s">
        <v>250</v>
      </c>
      <c r="B4" s="15" t="s">
        <v>18</v>
      </c>
      <c r="C4" s="15" t="s">
        <v>11</v>
      </c>
      <c r="D4" s="15" t="s">
        <v>251</v>
      </c>
      <c r="G4" t="s">
        <v>262</v>
      </c>
      <c r="H4" t="s">
        <v>263</v>
      </c>
      <c r="I4" t="s">
        <v>264</v>
      </c>
    </row>
    <row r="5" spans="1:9" x14ac:dyDescent="0.25">
      <c r="A5" s="3" t="s">
        <v>22</v>
      </c>
      <c r="B5">
        <v>17</v>
      </c>
      <c r="C5">
        <v>5</v>
      </c>
      <c r="D5">
        <v>22</v>
      </c>
      <c r="G5" s="4" t="str" cm="1">
        <f t="array" ref="G5:G10">IFERROR(A5:A10,"")</f>
        <v>Ahmed</v>
      </c>
      <c r="H5" cm="1">
        <f t="array" ref="H5:H10">IFERROR(C5:C10,0)</f>
        <v>5</v>
      </c>
      <c r="I5" cm="1">
        <f t="array" ref="I5:I10">IFERROR(D5:D10,0)</f>
        <v>22</v>
      </c>
    </row>
    <row r="6" spans="1:9" x14ac:dyDescent="0.25">
      <c r="A6" s="3" t="s">
        <v>29</v>
      </c>
      <c r="B6">
        <v>28</v>
      </c>
      <c r="C6">
        <v>20</v>
      </c>
      <c r="D6">
        <v>48</v>
      </c>
      <c r="G6" s="4" t="str">
        <v>Chioma</v>
      </c>
      <c r="H6">
        <v>20</v>
      </c>
      <c r="I6">
        <v>48</v>
      </c>
    </row>
    <row r="7" spans="1:9" x14ac:dyDescent="0.25">
      <c r="A7" s="3" t="s">
        <v>27</v>
      </c>
      <c r="B7">
        <v>25</v>
      </c>
      <c r="C7">
        <v>18</v>
      </c>
      <c r="D7">
        <v>43</v>
      </c>
      <c r="G7" s="4" t="str">
        <v>Chukwudi</v>
      </c>
      <c r="H7">
        <v>18</v>
      </c>
      <c r="I7">
        <v>43</v>
      </c>
    </row>
    <row r="8" spans="1:9" x14ac:dyDescent="0.25">
      <c r="A8" s="3" t="s">
        <v>25</v>
      </c>
      <c r="B8">
        <v>21</v>
      </c>
      <c r="C8">
        <v>28</v>
      </c>
      <c r="D8">
        <v>49</v>
      </c>
      <c r="G8" s="4" t="str">
        <v>Funmi</v>
      </c>
      <c r="H8">
        <v>28</v>
      </c>
      <c r="I8">
        <v>49</v>
      </c>
    </row>
    <row r="9" spans="1:9" x14ac:dyDescent="0.25">
      <c r="A9" s="3" t="s">
        <v>17</v>
      </c>
      <c r="B9">
        <v>6</v>
      </c>
      <c r="C9">
        <v>15</v>
      </c>
      <c r="D9">
        <v>21</v>
      </c>
      <c r="G9" s="4" t="str">
        <v>Ngozi</v>
      </c>
      <c r="H9">
        <v>15</v>
      </c>
      <c r="I9">
        <v>21</v>
      </c>
    </row>
    <row r="10" spans="1:9" x14ac:dyDescent="0.25">
      <c r="A10" s="3" t="s">
        <v>10</v>
      </c>
      <c r="B10">
        <v>28</v>
      </c>
      <c r="C10">
        <v>14</v>
      </c>
      <c r="D10">
        <v>42</v>
      </c>
      <c r="G10" s="4" t="str">
        <v>Olumide</v>
      </c>
      <c r="H10">
        <v>14</v>
      </c>
      <c r="I10">
        <v>42</v>
      </c>
    </row>
    <row r="11" spans="1:9" x14ac:dyDescent="0.25">
      <c r="A11" s="3" t="s">
        <v>251</v>
      </c>
      <c r="B11">
        <v>125</v>
      </c>
      <c r="C11">
        <v>100</v>
      </c>
      <c r="D11">
        <v>225</v>
      </c>
    </row>
    <row r="14" spans="1:9" x14ac:dyDescent="0.25">
      <c r="A14" s="2" t="s">
        <v>252</v>
      </c>
      <c r="B14" s="2" t="s">
        <v>253</v>
      </c>
    </row>
    <row r="15" spans="1:9" x14ac:dyDescent="0.25">
      <c r="A15" s="2" t="s">
        <v>250</v>
      </c>
      <c r="B15" t="s">
        <v>18</v>
      </c>
      <c r="C15" t="s">
        <v>11</v>
      </c>
      <c r="D15" t="s">
        <v>251</v>
      </c>
    </row>
    <row r="16" spans="1:9" x14ac:dyDescent="0.25">
      <c r="A16" s="3" t="s">
        <v>22</v>
      </c>
      <c r="B16" s="5">
        <v>0.77272727272727271</v>
      </c>
      <c r="C16" s="5">
        <v>0.22727272727272727</v>
      </c>
      <c r="D16" s="5">
        <v>1</v>
      </c>
    </row>
    <row r="17" spans="1:4" x14ac:dyDescent="0.25">
      <c r="A17" s="3" t="s">
        <v>29</v>
      </c>
      <c r="B17" s="5">
        <v>0.58333333333333337</v>
      </c>
      <c r="C17" s="5">
        <v>0.41666666666666669</v>
      </c>
      <c r="D17" s="5">
        <v>1</v>
      </c>
    </row>
    <row r="18" spans="1:4" x14ac:dyDescent="0.25">
      <c r="A18" s="3" t="s">
        <v>27</v>
      </c>
      <c r="B18" s="5">
        <v>0.58139534883720934</v>
      </c>
      <c r="C18" s="5">
        <v>0.41860465116279072</v>
      </c>
      <c r="D18" s="5">
        <v>1</v>
      </c>
    </row>
    <row r="19" spans="1:4" x14ac:dyDescent="0.25">
      <c r="A19" s="3" t="s">
        <v>25</v>
      </c>
      <c r="B19" s="5">
        <v>0.42857142857142855</v>
      </c>
      <c r="C19" s="5">
        <v>0.5714285714285714</v>
      </c>
      <c r="D19" s="5">
        <v>1</v>
      </c>
    </row>
    <row r="20" spans="1:4" x14ac:dyDescent="0.25">
      <c r="A20" s="3" t="s">
        <v>17</v>
      </c>
      <c r="B20" s="5">
        <v>0.2857142857142857</v>
      </c>
      <c r="C20" s="5">
        <v>0.7142857142857143</v>
      </c>
      <c r="D20" s="5">
        <v>1</v>
      </c>
    </row>
    <row r="21" spans="1:4" x14ac:dyDescent="0.25">
      <c r="A21" s="3" t="s">
        <v>10</v>
      </c>
      <c r="B21" s="5">
        <v>0.66666666666666663</v>
      </c>
      <c r="C21" s="5">
        <v>0.33333333333333331</v>
      </c>
      <c r="D21" s="5">
        <v>1</v>
      </c>
    </row>
    <row r="22" spans="1:4" x14ac:dyDescent="0.25">
      <c r="A22" s="3" t="s">
        <v>251</v>
      </c>
      <c r="B22" s="5">
        <v>0.55555555555555558</v>
      </c>
      <c r="C22" s="5">
        <v>0.44444444444444442</v>
      </c>
      <c r="D22" s="5">
        <v>1</v>
      </c>
    </row>
    <row r="23" spans="1:4" x14ac:dyDescent="0.25">
      <c r="C23" s="10">
        <v>0.5</v>
      </c>
    </row>
    <row r="25" spans="1:4" x14ac:dyDescent="0.25">
      <c r="A25" s="3" t="s">
        <v>22</v>
      </c>
      <c r="B25" s="5">
        <f>22.7272727272727%</f>
        <v>0.22727272727272702</v>
      </c>
      <c r="C25" s="5" cm="1">
        <f t="array" ref="C25:C30">B25:$B$30-$C$23</f>
        <v>-0.27272727272727298</v>
      </c>
      <c r="D25" s="5"/>
    </row>
    <row r="26" spans="1:4" x14ac:dyDescent="0.25">
      <c r="A26" s="3" t="s">
        <v>29</v>
      </c>
      <c r="B26" s="5">
        <v>0.41666666666666669</v>
      </c>
      <c r="C26" s="5">
        <v>-8.3333333333333315E-2</v>
      </c>
      <c r="D26" s="5"/>
    </row>
    <row r="27" spans="1:4" x14ac:dyDescent="0.25">
      <c r="A27" s="3" t="s">
        <v>27</v>
      </c>
      <c r="B27" s="5">
        <v>0.41860465116279072</v>
      </c>
      <c r="C27" s="5">
        <v>-8.139534883720928E-2</v>
      </c>
      <c r="D27" s="5"/>
    </row>
    <row r="28" spans="1:4" x14ac:dyDescent="0.25">
      <c r="A28" s="3" t="s">
        <v>25</v>
      </c>
      <c r="B28" s="5">
        <v>0.5714285714285714</v>
      </c>
      <c r="C28" s="5">
        <v>7.1428571428571397E-2</v>
      </c>
      <c r="D28" s="5"/>
    </row>
    <row r="29" spans="1:4" x14ac:dyDescent="0.25">
      <c r="A29" s="3" t="s">
        <v>17</v>
      </c>
      <c r="B29" s="5">
        <v>0.7142857142857143</v>
      </c>
      <c r="C29" s="5">
        <v>0.2142857142857143</v>
      </c>
      <c r="D29" s="5"/>
    </row>
    <row r="30" spans="1:4" x14ac:dyDescent="0.25">
      <c r="A30" s="3" t="s">
        <v>10</v>
      </c>
      <c r="B30" s="5">
        <v>0.33333333333333331</v>
      </c>
      <c r="C30" s="5">
        <v>-0.16666666666666669</v>
      </c>
      <c r="D30" s="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2B72B-AEEA-4C34-B585-449BA275DF2A}">
  <sheetPr>
    <tabColor theme="6" tint="-0.249977111117893"/>
  </sheetPr>
  <dimension ref="A3:I13"/>
  <sheetViews>
    <sheetView zoomScale="87" zoomScaleNormal="100" workbookViewId="0">
      <selection activeCell="J6" sqref="J6"/>
    </sheetView>
  </sheetViews>
  <sheetFormatPr defaultRowHeight="15" x14ac:dyDescent="0.25"/>
  <cols>
    <col min="1" max="1" width="17.5703125" bestFit="1" customWidth="1"/>
    <col min="2" max="2" width="17" bestFit="1" customWidth="1"/>
    <col min="3" max="3" width="7.85546875" bestFit="1" customWidth="1"/>
    <col min="4" max="4" width="11.28515625" bestFit="1" customWidth="1"/>
    <col min="5" max="5" width="8.5703125" bestFit="1" customWidth="1"/>
    <col min="6" max="6" width="4.85546875" bestFit="1" customWidth="1"/>
    <col min="7" max="7" width="10.140625" bestFit="1" customWidth="1"/>
    <col min="8" max="8" width="11.28515625" bestFit="1" customWidth="1"/>
  </cols>
  <sheetData>
    <row r="3" spans="1:9" x14ac:dyDescent="0.25">
      <c r="A3" s="2" t="s">
        <v>252</v>
      </c>
      <c r="B3" s="2" t="s">
        <v>253</v>
      </c>
      <c r="G3" t="s">
        <v>11</v>
      </c>
      <c r="H3" t="s">
        <v>286</v>
      </c>
    </row>
    <row r="4" spans="1:9" x14ac:dyDescent="0.25">
      <c r="A4" s="2" t="s">
        <v>250</v>
      </c>
      <c r="B4" t="s">
        <v>18</v>
      </c>
      <c r="C4" t="s">
        <v>11</v>
      </c>
      <c r="D4" t="s">
        <v>251</v>
      </c>
      <c r="G4" cm="1">
        <f t="array" ref="G4:G5">C5:C6</f>
        <v>27</v>
      </c>
      <c r="H4" cm="1">
        <f t="array" ref="H4:H5">D5:D6</f>
        <v>124</v>
      </c>
    </row>
    <row r="5" spans="1:9" x14ac:dyDescent="0.25">
      <c r="A5" s="3" t="s">
        <v>9</v>
      </c>
      <c r="B5">
        <v>97</v>
      </c>
      <c r="C5">
        <v>27</v>
      </c>
      <c r="D5">
        <v>124</v>
      </c>
      <c r="G5">
        <v>73</v>
      </c>
      <c r="H5">
        <v>101</v>
      </c>
    </row>
    <row r="6" spans="1:9" x14ac:dyDescent="0.25">
      <c r="A6" s="3" t="s">
        <v>16</v>
      </c>
      <c r="B6">
        <v>28</v>
      </c>
      <c r="C6">
        <v>73</v>
      </c>
      <c r="D6">
        <v>101</v>
      </c>
    </row>
    <row r="7" spans="1:9" x14ac:dyDescent="0.25">
      <c r="A7" s="3" t="s">
        <v>251</v>
      </c>
      <c r="B7">
        <v>125</v>
      </c>
      <c r="C7">
        <v>100</v>
      </c>
      <c r="D7">
        <v>225</v>
      </c>
    </row>
    <row r="9" spans="1:9" x14ac:dyDescent="0.25">
      <c r="A9" s="2" t="s">
        <v>252</v>
      </c>
      <c r="B9" s="2" t="s">
        <v>253</v>
      </c>
    </row>
    <row r="10" spans="1:9" x14ac:dyDescent="0.25">
      <c r="A10" s="2" t="s">
        <v>250</v>
      </c>
      <c r="B10" t="s">
        <v>18</v>
      </c>
      <c r="C10" t="s">
        <v>11</v>
      </c>
      <c r="D10" t="s">
        <v>251</v>
      </c>
      <c r="G10" t="s">
        <v>278</v>
      </c>
      <c r="H10" t="s">
        <v>276</v>
      </c>
      <c r="I10" t="s">
        <v>277</v>
      </c>
    </row>
    <row r="11" spans="1:9" x14ac:dyDescent="0.25">
      <c r="A11" s="3" t="s">
        <v>9</v>
      </c>
      <c r="B11" s="5">
        <v>0.782258064516129</v>
      </c>
      <c r="C11" s="5">
        <v>0.21774193548387097</v>
      </c>
      <c r="D11" s="5">
        <v>1</v>
      </c>
      <c r="G11" t="str" cm="1">
        <f t="array" ref="G11:G12">IFERROR(A11:A12,"")</f>
        <v>Female</v>
      </c>
      <c r="H11" s="4" cm="1">
        <f t="array" ref="H11:H12">IFERROR(C11:C12,0)</f>
        <v>0.21774193548387097</v>
      </c>
      <c r="I11" s="4" cm="1">
        <f t="array" ref="I11:I12">IFERROR(B11:B12,0)</f>
        <v>0.782258064516129</v>
      </c>
    </row>
    <row r="12" spans="1:9" x14ac:dyDescent="0.25">
      <c r="A12" s="3" t="s">
        <v>16</v>
      </c>
      <c r="B12" s="5">
        <v>0.27722772277227725</v>
      </c>
      <c r="C12" s="5">
        <v>0.72277227722772275</v>
      </c>
      <c r="D12" s="5">
        <v>1</v>
      </c>
      <c r="G12" t="str">
        <v>Male</v>
      </c>
      <c r="H12" s="4">
        <v>0.72277227722772275</v>
      </c>
      <c r="I12" s="4">
        <v>0.27722772277227725</v>
      </c>
    </row>
    <row r="13" spans="1:9" x14ac:dyDescent="0.25">
      <c r="A13" s="3" t="s">
        <v>251</v>
      </c>
      <c r="B13" s="5">
        <v>0.55555555555555558</v>
      </c>
      <c r="C13" s="5">
        <v>0.44444444444444442</v>
      </c>
      <c r="D13" s="5">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12C90-4558-4D82-B673-D2D54F7EB4E1}">
  <sheetPr>
    <tabColor theme="5" tint="-0.249977111117893"/>
  </sheetPr>
  <dimension ref="A3:H15"/>
  <sheetViews>
    <sheetView topLeftCell="A2" zoomScale="67" zoomScaleNormal="85" workbookViewId="0">
      <selection activeCell="B13" sqref="B13"/>
    </sheetView>
  </sheetViews>
  <sheetFormatPr defaultRowHeight="15" x14ac:dyDescent="0.25"/>
  <cols>
    <col min="1" max="2" width="22.7109375" bestFit="1" customWidth="1"/>
    <col min="3" max="3" width="10.85546875" bestFit="1" customWidth="1"/>
    <col min="4" max="4" width="15.7109375" bestFit="1" customWidth="1"/>
    <col min="6" max="6" width="10.85546875" customWidth="1"/>
    <col min="7" max="7" width="16" customWidth="1"/>
  </cols>
  <sheetData>
    <row r="3" spans="1:8" x14ac:dyDescent="0.25">
      <c r="A3" s="2" t="s">
        <v>252</v>
      </c>
      <c r="B3" s="2" t="s">
        <v>253</v>
      </c>
    </row>
    <row r="4" spans="1:8" x14ac:dyDescent="0.25">
      <c r="A4" s="2" t="s">
        <v>250</v>
      </c>
      <c r="B4" t="s">
        <v>18</v>
      </c>
      <c r="C4" t="s">
        <v>11</v>
      </c>
      <c r="D4" t="s">
        <v>251</v>
      </c>
    </row>
    <row r="5" spans="1:8" x14ac:dyDescent="0.25">
      <c r="A5" s="3" t="s">
        <v>20</v>
      </c>
      <c r="B5">
        <v>48</v>
      </c>
      <c r="C5">
        <v>6</v>
      </c>
      <c r="D5">
        <v>54</v>
      </c>
    </row>
    <row r="6" spans="1:8" x14ac:dyDescent="0.25">
      <c r="A6" s="3" t="s">
        <v>14</v>
      </c>
      <c r="B6">
        <v>77</v>
      </c>
      <c r="C6">
        <v>94</v>
      </c>
      <c r="D6">
        <v>171</v>
      </c>
    </row>
    <row r="7" spans="1:8" x14ac:dyDescent="0.25">
      <c r="A7" s="3" t="s">
        <v>251</v>
      </c>
      <c r="B7">
        <v>125</v>
      </c>
      <c r="C7">
        <v>100</v>
      </c>
      <c r="D7">
        <v>225</v>
      </c>
    </row>
    <row r="11" spans="1:8" x14ac:dyDescent="0.25">
      <c r="A11" s="2" t="s">
        <v>252</v>
      </c>
      <c r="B11" s="2" t="s">
        <v>253</v>
      </c>
    </row>
    <row r="12" spans="1:8" x14ac:dyDescent="0.25">
      <c r="A12" s="2" t="s">
        <v>250</v>
      </c>
      <c r="B12" t="s">
        <v>18</v>
      </c>
      <c r="C12" t="s">
        <v>11</v>
      </c>
      <c r="D12" t="s">
        <v>251</v>
      </c>
      <c r="F12" t="s">
        <v>279</v>
      </c>
      <c r="G12" t="s">
        <v>282</v>
      </c>
      <c r="H12" t="s">
        <v>283</v>
      </c>
    </row>
    <row r="13" spans="1:8" x14ac:dyDescent="0.25">
      <c r="A13" s="3" t="s">
        <v>20</v>
      </c>
      <c r="B13" s="5">
        <v>0.88888888888888884</v>
      </c>
      <c r="C13" s="5">
        <v>0.1111111111111111</v>
      </c>
      <c r="D13" s="5">
        <v>1</v>
      </c>
      <c r="F13" t="s">
        <v>280</v>
      </c>
      <c r="G13" s="12" cm="1">
        <f t="array" ref="G13:G14">IFERROR(C13:C14,0)</f>
        <v>0.1111111111111111</v>
      </c>
      <c r="H13" s="11" cm="1">
        <f t="array" ref="H13:H14">IFERROR(B13:B14,0)</f>
        <v>0.88888888888888884</v>
      </c>
    </row>
    <row r="14" spans="1:8" x14ac:dyDescent="0.25">
      <c r="A14" s="3" t="s">
        <v>14</v>
      </c>
      <c r="B14" s="5">
        <v>0.45029239766081869</v>
      </c>
      <c r="C14" s="5">
        <v>0.54970760233918126</v>
      </c>
      <c r="D14" s="5">
        <v>1</v>
      </c>
      <c r="F14" t="s">
        <v>281</v>
      </c>
      <c r="G14" s="13">
        <v>0.54970760233918126</v>
      </c>
      <c r="H14" s="11">
        <v>0.45029239766081869</v>
      </c>
    </row>
    <row r="15" spans="1:8" x14ac:dyDescent="0.25">
      <c r="A15" s="3" t="s">
        <v>251</v>
      </c>
      <c r="B15" s="5">
        <v>0.55555555555555558</v>
      </c>
      <c r="C15" s="5">
        <v>0.44444444444444442</v>
      </c>
      <c r="D15" s="5">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2B34-1352-478B-A5DD-4C118A7E71E5}">
  <sheetPr>
    <tabColor theme="8" tint="-0.249977111117893"/>
  </sheetPr>
  <dimension ref="A3:H15"/>
  <sheetViews>
    <sheetView workbookViewId="0">
      <selection activeCell="G7" sqref="G7"/>
    </sheetView>
  </sheetViews>
  <sheetFormatPr defaultRowHeight="15" x14ac:dyDescent="0.25"/>
  <cols>
    <col min="1" max="1" width="17.5703125" bestFit="1" customWidth="1"/>
    <col min="2" max="2" width="16.85546875" bestFit="1" customWidth="1"/>
    <col min="3" max="3" width="4.85546875" bestFit="1" customWidth="1"/>
    <col min="4" max="4" width="11.28515625" bestFit="1" customWidth="1"/>
    <col min="7" max="7" width="11" customWidth="1"/>
  </cols>
  <sheetData>
    <row r="3" spans="1:8" x14ac:dyDescent="0.25">
      <c r="A3" s="2" t="s">
        <v>252</v>
      </c>
      <c r="B3" s="2" t="s">
        <v>253</v>
      </c>
    </row>
    <row r="4" spans="1:8" x14ac:dyDescent="0.25">
      <c r="A4" s="2" t="s">
        <v>250</v>
      </c>
      <c r="B4" t="s">
        <v>18</v>
      </c>
      <c r="C4" t="s">
        <v>11</v>
      </c>
      <c r="D4" t="s">
        <v>251</v>
      </c>
    </row>
    <row r="5" spans="1:8" x14ac:dyDescent="0.25">
      <c r="A5" s="3" t="s">
        <v>12</v>
      </c>
      <c r="B5">
        <v>65</v>
      </c>
      <c r="C5">
        <v>67</v>
      </c>
      <c r="D5">
        <v>132</v>
      </c>
    </row>
    <row r="6" spans="1:8" x14ac:dyDescent="0.25">
      <c r="A6" s="3" t="s">
        <v>23</v>
      </c>
      <c r="B6">
        <v>60</v>
      </c>
      <c r="C6">
        <v>33</v>
      </c>
      <c r="D6">
        <v>93</v>
      </c>
    </row>
    <row r="7" spans="1:8" x14ac:dyDescent="0.25">
      <c r="A7" s="3" t="s">
        <v>251</v>
      </c>
      <c r="B7">
        <v>125</v>
      </c>
      <c r="C7">
        <v>100</v>
      </c>
      <c r="D7">
        <v>225</v>
      </c>
    </row>
    <row r="11" spans="1:8" x14ac:dyDescent="0.25">
      <c r="A11" s="2" t="s">
        <v>252</v>
      </c>
      <c r="B11" s="2" t="s">
        <v>253</v>
      </c>
    </row>
    <row r="12" spans="1:8" x14ac:dyDescent="0.25">
      <c r="A12" s="2" t="s">
        <v>250</v>
      </c>
      <c r="B12" t="s">
        <v>18</v>
      </c>
      <c r="C12" t="s">
        <v>11</v>
      </c>
      <c r="D12" t="s">
        <v>251</v>
      </c>
      <c r="F12" t="s">
        <v>288</v>
      </c>
      <c r="G12" t="s">
        <v>289</v>
      </c>
      <c r="H12" t="s">
        <v>290</v>
      </c>
    </row>
    <row r="13" spans="1:8" x14ac:dyDescent="0.25">
      <c r="A13" s="3" t="s">
        <v>12</v>
      </c>
      <c r="B13" s="5">
        <v>0.49242424242424243</v>
      </c>
      <c r="C13" s="5">
        <v>0.50757575757575757</v>
      </c>
      <c r="D13" s="5">
        <v>1</v>
      </c>
      <c r="F13" t="s">
        <v>12</v>
      </c>
      <c r="G13">
        <v>67</v>
      </c>
      <c r="H13">
        <v>132</v>
      </c>
    </row>
    <row r="14" spans="1:8" x14ac:dyDescent="0.25">
      <c r="A14" s="3" t="s">
        <v>23</v>
      </c>
      <c r="B14" s="5">
        <v>0.64516129032258063</v>
      </c>
      <c r="C14" s="5">
        <v>0.35483870967741937</v>
      </c>
      <c r="D14" s="5">
        <v>1</v>
      </c>
      <c r="F14" t="s">
        <v>23</v>
      </c>
      <c r="G14">
        <v>33</v>
      </c>
      <c r="H14">
        <v>93</v>
      </c>
    </row>
    <row r="15" spans="1:8" x14ac:dyDescent="0.25">
      <c r="A15" s="3" t="s">
        <v>251</v>
      </c>
      <c r="B15" s="5">
        <v>0.55555555555555558</v>
      </c>
      <c r="C15" s="5">
        <v>0.44444444444444442</v>
      </c>
      <c r="D15" s="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7E5F-4097-4764-879B-E7223BD7A89C}">
  <sheetPr>
    <tabColor rgb="FFFF0000"/>
  </sheetPr>
  <dimension ref="A3:H26"/>
  <sheetViews>
    <sheetView topLeftCell="A3" workbookViewId="0">
      <selection activeCell="B14" sqref="B14"/>
    </sheetView>
  </sheetViews>
  <sheetFormatPr defaultRowHeight="15" x14ac:dyDescent="0.25"/>
  <cols>
    <col min="1" max="1" width="17.5703125" bestFit="1" customWidth="1"/>
    <col min="2" max="2" width="16.85546875" bestFit="1" customWidth="1"/>
    <col min="3" max="3" width="7.140625" bestFit="1" customWidth="1"/>
    <col min="4" max="4" width="11.28515625" bestFit="1" customWidth="1"/>
    <col min="6" max="6" width="11.85546875" customWidth="1"/>
  </cols>
  <sheetData>
    <row r="3" spans="1:8" x14ac:dyDescent="0.25">
      <c r="A3" s="2" t="s">
        <v>252</v>
      </c>
      <c r="B3" s="2" t="s">
        <v>253</v>
      </c>
    </row>
    <row r="4" spans="1:8" x14ac:dyDescent="0.25">
      <c r="A4" s="2" t="s">
        <v>250</v>
      </c>
      <c r="B4" t="s">
        <v>18</v>
      </c>
      <c r="C4" t="s">
        <v>11</v>
      </c>
      <c r="D4" t="s">
        <v>251</v>
      </c>
    </row>
    <row r="5" spans="1:8" x14ac:dyDescent="0.25">
      <c r="A5" s="3" t="s">
        <v>19</v>
      </c>
      <c r="B5">
        <v>68</v>
      </c>
      <c r="C5">
        <v>36</v>
      </c>
      <c r="D5">
        <v>104</v>
      </c>
      <c r="F5" t="s">
        <v>11</v>
      </c>
      <c r="G5" t="s">
        <v>291</v>
      </c>
    </row>
    <row r="6" spans="1:8" x14ac:dyDescent="0.25">
      <c r="A6" s="3" t="s">
        <v>33</v>
      </c>
      <c r="B6">
        <v>22</v>
      </c>
      <c r="D6">
        <v>22</v>
      </c>
      <c r="F6" cm="1">
        <f t="array" ref="F6:F8">C5:C7</f>
        <v>36</v>
      </c>
      <c r="G6" cm="1">
        <f t="array" ref="G6:G8">D5:D7</f>
        <v>104</v>
      </c>
    </row>
    <row r="7" spans="1:8" x14ac:dyDescent="0.25">
      <c r="A7" s="3" t="s">
        <v>13</v>
      </c>
      <c r="B7">
        <v>35</v>
      </c>
      <c r="C7">
        <v>64</v>
      </c>
      <c r="D7">
        <v>99</v>
      </c>
      <c r="F7">
        <v>0</v>
      </c>
      <c r="G7">
        <v>22</v>
      </c>
    </row>
    <row r="8" spans="1:8" x14ac:dyDescent="0.25">
      <c r="A8" s="3" t="s">
        <v>251</v>
      </c>
      <c r="B8">
        <v>125</v>
      </c>
      <c r="C8">
        <v>100</v>
      </c>
      <c r="D8">
        <v>225</v>
      </c>
      <c r="F8">
        <v>64</v>
      </c>
      <c r="G8">
        <v>99</v>
      </c>
    </row>
    <row r="9" spans="1:8" x14ac:dyDescent="0.25">
      <c r="G9" s="5"/>
    </row>
    <row r="10" spans="1:8" x14ac:dyDescent="0.25">
      <c r="G10" s="5"/>
    </row>
    <row r="11" spans="1:8" x14ac:dyDescent="0.25">
      <c r="G11" s="5"/>
    </row>
    <row r="12" spans="1:8" x14ac:dyDescent="0.25">
      <c r="A12" s="2" t="s">
        <v>252</v>
      </c>
      <c r="B12" s="2" t="s">
        <v>253</v>
      </c>
    </row>
    <row r="13" spans="1:8" x14ac:dyDescent="0.25">
      <c r="A13" s="2" t="s">
        <v>250</v>
      </c>
      <c r="B13" t="s">
        <v>18</v>
      </c>
      <c r="C13" t="s">
        <v>11</v>
      </c>
      <c r="D13" t="s">
        <v>251</v>
      </c>
      <c r="F13" t="s">
        <v>6</v>
      </c>
      <c r="G13" t="s">
        <v>285</v>
      </c>
      <c r="H13" t="s">
        <v>287</v>
      </c>
    </row>
    <row r="14" spans="1:8" x14ac:dyDescent="0.25">
      <c r="A14" s="3" t="s">
        <v>19</v>
      </c>
      <c r="B14" s="5">
        <v>0.65384615384615385</v>
      </c>
      <c r="C14" s="5">
        <v>0.34615384615384615</v>
      </c>
      <c r="D14" s="5">
        <v>1</v>
      </c>
      <c r="F14" s="3" t="s">
        <v>19</v>
      </c>
      <c r="G14" s="5">
        <v>0.34615384615384615</v>
      </c>
      <c r="H14" s="5">
        <v>1</v>
      </c>
    </row>
    <row r="15" spans="1:8" x14ac:dyDescent="0.25">
      <c r="A15" s="3" t="s">
        <v>33</v>
      </c>
      <c r="B15" s="5">
        <v>1</v>
      </c>
      <c r="C15" s="5">
        <v>0</v>
      </c>
      <c r="D15" s="5">
        <v>1</v>
      </c>
      <c r="F15" s="3" t="s">
        <v>33</v>
      </c>
      <c r="G15" s="5">
        <v>0</v>
      </c>
      <c r="H15" s="5">
        <v>1</v>
      </c>
    </row>
    <row r="16" spans="1:8" x14ac:dyDescent="0.25">
      <c r="A16" s="3" t="s">
        <v>13</v>
      </c>
      <c r="B16" s="5">
        <v>0.35353535353535354</v>
      </c>
      <c r="C16" s="5">
        <v>0.64646464646464652</v>
      </c>
      <c r="D16" s="5">
        <v>1</v>
      </c>
      <c r="F16" s="3" t="s">
        <v>13</v>
      </c>
      <c r="G16" s="5">
        <v>0.64646464646464652</v>
      </c>
      <c r="H16" s="5">
        <v>1</v>
      </c>
    </row>
    <row r="17" spans="1:8" x14ac:dyDescent="0.25">
      <c r="A17" s="3" t="s">
        <v>251</v>
      </c>
      <c r="B17" s="5">
        <v>0.55555555555555558</v>
      </c>
      <c r="C17" s="5">
        <v>0.44444444444444442</v>
      </c>
      <c r="D17" s="5">
        <v>1</v>
      </c>
    </row>
    <row r="23" spans="1:8" x14ac:dyDescent="0.25">
      <c r="F23" t="s">
        <v>6</v>
      </c>
      <c r="G23" t="s">
        <v>285</v>
      </c>
      <c r="H23" t="s">
        <v>292</v>
      </c>
    </row>
    <row r="24" spans="1:8" x14ac:dyDescent="0.25">
      <c r="F24" s="3" t="s">
        <v>19</v>
      </c>
      <c r="G24" s="5">
        <v>0.34615384615384615</v>
      </c>
      <c r="H24" s="5">
        <v>0.65380000000000005</v>
      </c>
    </row>
    <row r="25" spans="1:8" x14ac:dyDescent="0.25">
      <c r="F25" s="3" t="s">
        <v>33</v>
      </c>
      <c r="G25" s="5">
        <v>0</v>
      </c>
      <c r="H25" s="5">
        <v>1</v>
      </c>
    </row>
    <row r="26" spans="1:8" x14ac:dyDescent="0.25">
      <c r="F26" s="3" t="s">
        <v>13</v>
      </c>
      <c r="G26" s="5">
        <v>0.64646464646464652</v>
      </c>
      <c r="H26" s="5">
        <v>0.35349999999999998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EF64-C3BD-490A-BEAA-652F7884CFDB}">
  <sheetPr>
    <tabColor rgb="FFC99029"/>
  </sheetPr>
  <dimension ref="A3:D72"/>
  <sheetViews>
    <sheetView workbookViewId="0">
      <selection activeCell="C4" sqref="C4:C36"/>
    </sheetView>
  </sheetViews>
  <sheetFormatPr defaultRowHeight="15" x14ac:dyDescent="0.25"/>
  <cols>
    <col min="1" max="1" width="17.5703125" bestFit="1" customWidth="1"/>
    <col min="2" max="2" width="16.85546875" bestFit="1" customWidth="1"/>
    <col min="3" max="3" width="4.85546875" bestFit="1" customWidth="1"/>
    <col min="4" max="4" width="11.28515625" bestFit="1" customWidth="1"/>
  </cols>
  <sheetData>
    <row r="3" spans="1:4" x14ac:dyDescent="0.25">
      <c r="A3" s="2" t="s">
        <v>252</v>
      </c>
      <c r="B3" s="2" t="s">
        <v>253</v>
      </c>
    </row>
    <row r="4" spans="1:4" x14ac:dyDescent="0.25">
      <c r="A4" s="2" t="s">
        <v>250</v>
      </c>
      <c r="B4" t="s">
        <v>18</v>
      </c>
      <c r="C4" t="s">
        <v>11</v>
      </c>
      <c r="D4" t="s">
        <v>251</v>
      </c>
    </row>
    <row r="5" spans="1:4" x14ac:dyDescent="0.25">
      <c r="A5" s="6">
        <v>45139</v>
      </c>
      <c r="B5" s="5">
        <v>0.8</v>
      </c>
      <c r="C5" s="5">
        <v>0.2</v>
      </c>
      <c r="D5" s="5">
        <v>1</v>
      </c>
    </row>
    <row r="6" spans="1:4" x14ac:dyDescent="0.25">
      <c r="A6" s="6">
        <v>45140</v>
      </c>
      <c r="B6" s="5">
        <v>0.33333333333333331</v>
      </c>
      <c r="C6" s="5">
        <v>0.66666666666666663</v>
      </c>
      <c r="D6" s="5">
        <v>1</v>
      </c>
    </row>
    <row r="7" spans="1:4" x14ac:dyDescent="0.25">
      <c r="A7" s="6">
        <v>45141</v>
      </c>
      <c r="B7" s="5">
        <v>0.16666666666666666</v>
      </c>
      <c r="C7" s="5">
        <v>0.83333333333333337</v>
      </c>
      <c r="D7" s="5">
        <v>1</v>
      </c>
    </row>
    <row r="8" spans="1:4" x14ac:dyDescent="0.25">
      <c r="A8" s="6">
        <v>45142</v>
      </c>
      <c r="B8" s="5">
        <v>0.6</v>
      </c>
      <c r="C8" s="5">
        <v>0.4</v>
      </c>
      <c r="D8" s="5">
        <v>1</v>
      </c>
    </row>
    <row r="9" spans="1:4" x14ac:dyDescent="0.25">
      <c r="A9" s="6">
        <v>45143</v>
      </c>
      <c r="B9" s="5">
        <v>0.5714285714285714</v>
      </c>
      <c r="C9" s="5">
        <v>0.42857142857142855</v>
      </c>
      <c r="D9" s="5">
        <v>1</v>
      </c>
    </row>
    <row r="10" spans="1:4" x14ac:dyDescent="0.25">
      <c r="A10" s="6">
        <v>45144</v>
      </c>
      <c r="B10" s="5">
        <v>0.5</v>
      </c>
      <c r="C10" s="5">
        <v>0.5</v>
      </c>
      <c r="D10" s="5">
        <v>1</v>
      </c>
    </row>
    <row r="11" spans="1:4" x14ac:dyDescent="0.25">
      <c r="A11" s="6">
        <v>45145</v>
      </c>
      <c r="B11" s="5">
        <v>0.7142857142857143</v>
      </c>
      <c r="C11" s="5">
        <v>0.2857142857142857</v>
      </c>
      <c r="D11" s="5">
        <v>1</v>
      </c>
    </row>
    <row r="12" spans="1:4" x14ac:dyDescent="0.25">
      <c r="A12" s="6">
        <v>45146</v>
      </c>
      <c r="B12" s="5">
        <v>0.4</v>
      </c>
      <c r="C12" s="5">
        <v>0.6</v>
      </c>
      <c r="D12" s="5">
        <v>1</v>
      </c>
    </row>
    <row r="13" spans="1:4" x14ac:dyDescent="0.25">
      <c r="A13" s="6">
        <v>45147</v>
      </c>
      <c r="B13" s="5">
        <v>1</v>
      </c>
      <c r="C13" s="5">
        <v>0</v>
      </c>
      <c r="D13" s="5">
        <v>1</v>
      </c>
    </row>
    <row r="14" spans="1:4" x14ac:dyDescent="0.25">
      <c r="A14" s="6">
        <v>45148</v>
      </c>
      <c r="B14" s="5">
        <v>0.14285714285714285</v>
      </c>
      <c r="C14" s="5">
        <v>0.8571428571428571</v>
      </c>
      <c r="D14" s="5">
        <v>1</v>
      </c>
    </row>
    <row r="15" spans="1:4" x14ac:dyDescent="0.25">
      <c r="A15" s="6">
        <v>45149</v>
      </c>
      <c r="B15" s="5">
        <v>1</v>
      </c>
      <c r="C15" s="5">
        <v>0</v>
      </c>
      <c r="D15" s="5">
        <v>1</v>
      </c>
    </row>
    <row r="16" spans="1:4" x14ac:dyDescent="0.25">
      <c r="A16" s="6">
        <v>45150</v>
      </c>
      <c r="B16" s="5">
        <v>0.375</v>
      </c>
      <c r="C16" s="5">
        <v>0.625</v>
      </c>
      <c r="D16" s="5">
        <v>1</v>
      </c>
    </row>
    <row r="17" spans="1:4" x14ac:dyDescent="0.25">
      <c r="A17" s="6">
        <v>45151</v>
      </c>
      <c r="B17" s="5">
        <v>0.77777777777777779</v>
      </c>
      <c r="C17" s="5">
        <v>0.22222222222222221</v>
      </c>
      <c r="D17" s="5">
        <v>1</v>
      </c>
    </row>
    <row r="18" spans="1:4" x14ac:dyDescent="0.25">
      <c r="A18" s="6">
        <v>45152</v>
      </c>
      <c r="B18" s="5">
        <v>0</v>
      </c>
      <c r="C18" s="5">
        <v>1</v>
      </c>
      <c r="D18" s="5">
        <v>1</v>
      </c>
    </row>
    <row r="19" spans="1:4" x14ac:dyDescent="0.25">
      <c r="A19" s="6">
        <v>45153</v>
      </c>
      <c r="B19" s="5">
        <v>0.75</v>
      </c>
      <c r="C19" s="5">
        <v>0.25</v>
      </c>
      <c r="D19" s="5">
        <v>1</v>
      </c>
    </row>
    <row r="20" spans="1:4" x14ac:dyDescent="0.25">
      <c r="A20" s="6">
        <v>45154</v>
      </c>
      <c r="B20" s="5">
        <v>0.14285714285714285</v>
      </c>
      <c r="C20" s="5">
        <v>0.8571428571428571</v>
      </c>
      <c r="D20" s="5">
        <v>1</v>
      </c>
    </row>
    <row r="21" spans="1:4" x14ac:dyDescent="0.25">
      <c r="A21" s="6">
        <v>45155</v>
      </c>
      <c r="B21" s="5">
        <v>0.8571428571428571</v>
      </c>
      <c r="C21" s="5">
        <v>0.14285714285714285</v>
      </c>
      <c r="D21" s="5">
        <v>1</v>
      </c>
    </row>
    <row r="22" spans="1:4" x14ac:dyDescent="0.25">
      <c r="A22" s="6">
        <v>45156</v>
      </c>
      <c r="B22" s="5">
        <v>0.4</v>
      </c>
      <c r="C22" s="5">
        <v>0.6</v>
      </c>
      <c r="D22" s="5">
        <v>1</v>
      </c>
    </row>
    <row r="23" spans="1:4" x14ac:dyDescent="0.25">
      <c r="A23" s="6">
        <v>45157</v>
      </c>
      <c r="B23" s="5">
        <v>0.8</v>
      </c>
      <c r="C23" s="5">
        <v>0.2</v>
      </c>
      <c r="D23" s="5">
        <v>1</v>
      </c>
    </row>
    <row r="24" spans="1:4" x14ac:dyDescent="0.25">
      <c r="A24" s="6">
        <v>45158</v>
      </c>
      <c r="B24" s="5">
        <v>0.8571428571428571</v>
      </c>
      <c r="C24" s="5">
        <v>0.14285714285714285</v>
      </c>
      <c r="D24" s="5">
        <v>1</v>
      </c>
    </row>
    <row r="25" spans="1:4" x14ac:dyDescent="0.25">
      <c r="A25" s="6">
        <v>45159</v>
      </c>
      <c r="B25" s="5">
        <v>1</v>
      </c>
      <c r="C25" s="5">
        <v>0</v>
      </c>
      <c r="D25" s="5">
        <v>1</v>
      </c>
    </row>
    <row r="26" spans="1:4" x14ac:dyDescent="0.25">
      <c r="A26" s="6">
        <v>45160</v>
      </c>
      <c r="B26" s="5">
        <v>0</v>
      </c>
      <c r="C26" s="5">
        <v>1</v>
      </c>
      <c r="D26" s="5">
        <v>1</v>
      </c>
    </row>
    <row r="27" spans="1:4" x14ac:dyDescent="0.25">
      <c r="A27" s="6">
        <v>45161</v>
      </c>
      <c r="B27" s="5">
        <v>0.33333333333333331</v>
      </c>
      <c r="C27" s="5">
        <v>0.66666666666666663</v>
      </c>
      <c r="D27" s="5">
        <v>1</v>
      </c>
    </row>
    <row r="28" spans="1:4" x14ac:dyDescent="0.25">
      <c r="A28" s="6">
        <v>45162</v>
      </c>
      <c r="B28" s="5">
        <v>0.75</v>
      </c>
      <c r="C28" s="5">
        <v>0.25</v>
      </c>
      <c r="D28" s="5">
        <v>1</v>
      </c>
    </row>
    <row r="29" spans="1:4" x14ac:dyDescent="0.25">
      <c r="A29" s="6">
        <v>45163</v>
      </c>
      <c r="B29" s="5">
        <v>0.6</v>
      </c>
      <c r="C29" s="5">
        <v>0.4</v>
      </c>
      <c r="D29" s="5">
        <v>1</v>
      </c>
    </row>
    <row r="30" spans="1:4" x14ac:dyDescent="0.25">
      <c r="A30" s="6">
        <v>45164</v>
      </c>
      <c r="B30" s="5">
        <v>0.5714285714285714</v>
      </c>
      <c r="C30" s="5">
        <v>0.42857142857142855</v>
      </c>
      <c r="D30" s="5">
        <v>1</v>
      </c>
    </row>
    <row r="31" spans="1:4" x14ac:dyDescent="0.25">
      <c r="A31" s="6">
        <v>45165</v>
      </c>
      <c r="B31" s="5">
        <v>0.5714285714285714</v>
      </c>
      <c r="C31" s="5">
        <v>0.42857142857142855</v>
      </c>
      <c r="D31" s="5">
        <v>1</v>
      </c>
    </row>
    <row r="32" spans="1:4" x14ac:dyDescent="0.25">
      <c r="A32" s="6">
        <v>45166</v>
      </c>
      <c r="B32" s="5">
        <v>0.5714285714285714</v>
      </c>
      <c r="C32" s="5">
        <v>0.42857142857142855</v>
      </c>
      <c r="D32" s="5">
        <v>1</v>
      </c>
    </row>
    <row r="33" spans="1:4" x14ac:dyDescent="0.25">
      <c r="A33" s="6">
        <v>45167</v>
      </c>
      <c r="B33" s="5">
        <v>0.25</v>
      </c>
      <c r="C33" s="5">
        <v>0.75</v>
      </c>
      <c r="D33" s="5">
        <v>1</v>
      </c>
    </row>
    <row r="34" spans="1:4" x14ac:dyDescent="0.25">
      <c r="A34" s="6">
        <v>45168</v>
      </c>
      <c r="B34" s="5">
        <v>1</v>
      </c>
      <c r="C34" s="5">
        <v>0</v>
      </c>
      <c r="D34" s="5">
        <v>1</v>
      </c>
    </row>
    <row r="35" spans="1:4" x14ac:dyDescent="0.25">
      <c r="A35" s="6">
        <v>45169</v>
      </c>
      <c r="B35" s="5">
        <v>0.6</v>
      </c>
      <c r="C35" s="5">
        <v>0.4</v>
      </c>
      <c r="D35" s="5">
        <v>1</v>
      </c>
    </row>
    <row r="36" spans="1:4" x14ac:dyDescent="0.25">
      <c r="A36" s="6" t="s">
        <v>251</v>
      </c>
      <c r="B36" s="5">
        <v>0.55555555555555558</v>
      </c>
      <c r="C36" s="5">
        <v>0.44444444444444442</v>
      </c>
      <c r="D36" s="5">
        <v>1</v>
      </c>
    </row>
    <row r="39" spans="1:4" x14ac:dyDescent="0.25">
      <c r="A39" s="2" t="s">
        <v>252</v>
      </c>
      <c r="B39" s="2" t="s">
        <v>253</v>
      </c>
    </row>
    <row r="40" spans="1:4" x14ac:dyDescent="0.25">
      <c r="A40" s="2" t="s">
        <v>250</v>
      </c>
      <c r="B40" t="s">
        <v>18</v>
      </c>
      <c r="C40" t="s">
        <v>11</v>
      </c>
      <c r="D40" t="s">
        <v>251</v>
      </c>
    </row>
    <row r="41" spans="1:4" x14ac:dyDescent="0.25">
      <c r="A41" s="6">
        <v>45139</v>
      </c>
      <c r="B41">
        <v>4</v>
      </c>
      <c r="C41">
        <v>1</v>
      </c>
      <c r="D41">
        <v>5</v>
      </c>
    </row>
    <row r="42" spans="1:4" x14ac:dyDescent="0.25">
      <c r="A42" s="6">
        <v>45140</v>
      </c>
      <c r="B42">
        <v>2</v>
      </c>
      <c r="C42">
        <v>4</v>
      </c>
      <c r="D42">
        <v>6</v>
      </c>
    </row>
    <row r="43" spans="1:4" x14ac:dyDescent="0.25">
      <c r="A43" s="6">
        <v>45141</v>
      </c>
      <c r="B43">
        <v>1</v>
      </c>
      <c r="C43">
        <v>5</v>
      </c>
      <c r="D43">
        <v>6</v>
      </c>
    </row>
    <row r="44" spans="1:4" x14ac:dyDescent="0.25">
      <c r="A44" s="6">
        <v>45142</v>
      </c>
      <c r="B44">
        <v>3</v>
      </c>
      <c r="C44">
        <v>2</v>
      </c>
      <c r="D44">
        <v>5</v>
      </c>
    </row>
    <row r="45" spans="1:4" x14ac:dyDescent="0.25">
      <c r="A45" s="6">
        <v>45143</v>
      </c>
      <c r="B45">
        <v>4</v>
      </c>
      <c r="C45">
        <v>3</v>
      </c>
      <c r="D45">
        <v>7</v>
      </c>
    </row>
    <row r="46" spans="1:4" x14ac:dyDescent="0.25">
      <c r="A46" s="6">
        <v>45144</v>
      </c>
      <c r="B46">
        <v>4</v>
      </c>
      <c r="C46">
        <v>4</v>
      </c>
      <c r="D46">
        <v>8</v>
      </c>
    </row>
    <row r="47" spans="1:4" x14ac:dyDescent="0.25">
      <c r="A47" s="6">
        <v>45145</v>
      </c>
      <c r="B47">
        <v>5</v>
      </c>
      <c r="C47">
        <v>2</v>
      </c>
      <c r="D47">
        <v>7</v>
      </c>
    </row>
    <row r="48" spans="1:4" x14ac:dyDescent="0.25">
      <c r="A48" s="6">
        <v>45146</v>
      </c>
      <c r="B48">
        <v>4</v>
      </c>
      <c r="C48">
        <v>6</v>
      </c>
      <c r="D48">
        <v>10</v>
      </c>
    </row>
    <row r="49" spans="1:4" x14ac:dyDescent="0.25">
      <c r="A49" s="6">
        <v>45147</v>
      </c>
      <c r="B49">
        <v>6</v>
      </c>
      <c r="D49">
        <v>6</v>
      </c>
    </row>
    <row r="50" spans="1:4" x14ac:dyDescent="0.25">
      <c r="A50" s="6">
        <v>45148</v>
      </c>
      <c r="B50">
        <v>1</v>
      </c>
      <c r="C50">
        <v>6</v>
      </c>
      <c r="D50">
        <v>7</v>
      </c>
    </row>
    <row r="51" spans="1:4" x14ac:dyDescent="0.25">
      <c r="A51" s="6">
        <v>45149</v>
      </c>
      <c r="B51">
        <v>7</v>
      </c>
      <c r="D51">
        <v>7</v>
      </c>
    </row>
    <row r="52" spans="1:4" x14ac:dyDescent="0.25">
      <c r="A52" s="6">
        <v>45150</v>
      </c>
      <c r="B52">
        <v>3</v>
      </c>
      <c r="C52">
        <v>5</v>
      </c>
      <c r="D52">
        <v>8</v>
      </c>
    </row>
    <row r="53" spans="1:4" x14ac:dyDescent="0.25">
      <c r="A53" s="6">
        <v>45151</v>
      </c>
      <c r="B53">
        <v>7</v>
      </c>
      <c r="C53">
        <v>2</v>
      </c>
      <c r="D53">
        <v>9</v>
      </c>
    </row>
    <row r="54" spans="1:4" x14ac:dyDescent="0.25">
      <c r="A54" s="6">
        <v>45152</v>
      </c>
      <c r="C54">
        <v>6</v>
      </c>
      <c r="D54">
        <v>6</v>
      </c>
    </row>
    <row r="55" spans="1:4" x14ac:dyDescent="0.25">
      <c r="A55" s="6">
        <v>45153</v>
      </c>
      <c r="B55">
        <v>6</v>
      </c>
      <c r="C55">
        <v>2</v>
      </c>
      <c r="D55">
        <v>8</v>
      </c>
    </row>
    <row r="56" spans="1:4" x14ac:dyDescent="0.25">
      <c r="A56" s="6">
        <v>45154</v>
      </c>
      <c r="B56">
        <v>1</v>
      </c>
      <c r="C56">
        <v>6</v>
      </c>
      <c r="D56">
        <v>7</v>
      </c>
    </row>
    <row r="57" spans="1:4" x14ac:dyDescent="0.25">
      <c r="A57" s="6">
        <v>45155</v>
      </c>
      <c r="B57">
        <v>6</v>
      </c>
      <c r="C57">
        <v>1</v>
      </c>
      <c r="D57">
        <v>7</v>
      </c>
    </row>
    <row r="58" spans="1:4" x14ac:dyDescent="0.25">
      <c r="A58" s="6">
        <v>45156</v>
      </c>
      <c r="B58">
        <v>4</v>
      </c>
      <c r="C58">
        <v>6</v>
      </c>
      <c r="D58">
        <v>10</v>
      </c>
    </row>
    <row r="59" spans="1:4" x14ac:dyDescent="0.25">
      <c r="A59" s="6">
        <v>45157</v>
      </c>
      <c r="B59">
        <v>4</v>
      </c>
      <c r="C59">
        <v>1</v>
      </c>
      <c r="D59">
        <v>5</v>
      </c>
    </row>
    <row r="60" spans="1:4" x14ac:dyDescent="0.25">
      <c r="A60" s="6">
        <v>45158</v>
      </c>
      <c r="B60">
        <v>6</v>
      </c>
      <c r="C60">
        <v>1</v>
      </c>
      <c r="D60">
        <v>7</v>
      </c>
    </row>
    <row r="61" spans="1:4" x14ac:dyDescent="0.25">
      <c r="A61" s="6">
        <v>45159</v>
      </c>
      <c r="B61">
        <v>6</v>
      </c>
      <c r="D61">
        <v>6</v>
      </c>
    </row>
    <row r="62" spans="1:4" x14ac:dyDescent="0.25">
      <c r="A62" s="6">
        <v>45160</v>
      </c>
      <c r="C62">
        <v>6</v>
      </c>
      <c r="D62">
        <v>6</v>
      </c>
    </row>
    <row r="63" spans="1:4" x14ac:dyDescent="0.25">
      <c r="A63" s="6">
        <v>45161</v>
      </c>
      <c r="B63">
        <v>3</v>
      </c>
      <c r="C63">
        <v>6</v>
      </c>
      <c r="D63">
        <v>9</v>
      </c>
    </row>
    <row r="64" spans="1:4" x14ac:dyDescent="0.25">
      <c r="A64" s="6">
        <v>45162</v>
      </c>
      <c r="B64">
        <v>3</v>
      </c>
      <c r="C64">
        <v>1</v>
      </c>
      <c r="D64">
        <v>4</v>
      </c>
    </row>
    <row r="65" spans="1:4" x14ac:dyDescent="0.25">
      <c r="A65" s="6">
        <v>45163</v>
      </c>
      <c r="B65">
        <v>3</v>
      </c>
      <c r="C65">
        <v>2</v>
      </c>
      <c r="D65">
        <v>5</v>
      </c>
    </row>
    <row r="66" spans="1:4" x14ac:dyDescent="0.25">
      <c r="A66" s="6">
        <v>45164</v>
      </c>
      <c r="B66">
        <v>4</v>
      </c>
      <c r="C66">
        <v>3</v>
      </c>
      <c r="D66">
        <v>7</v>
      </c>
    </row>
    <row r="67" spans="1:4" x14ac:dyDescent="0.25">
      <c r="A67" s="6">
        <v>45165</v>
      </c>
      <c r="B67">
        <v>4</v>
      </c>
      <c r="C67">
        <v>3</v>
      </c>
      <c r="D67">
        <v>7</v>
      </c>
    </row>
    <row r="68" spans="1:4" x14ac:dyDescent="0.25">
      <c r="A68" s="6">
        <v>45166</v>
      </c>
      <c r="B68">
        <v>4</v>
      </c>
      <c r="C68">
        <v>3</v>
      </c>
      <c r="D68">
        <v>7</v>
      </c>
    </row>
    <row r="69" spans="1:4" x14ac:dyDescent="0.25">
      <c r="A69" s="6">
        <v>45167</v>
      </c>
      <c r="B69">
        <v>1</v>
      </c>
      <c r="C69">
        <v>3</v>
      </c>
      <c r="D69">
        <v>4</v>
      </c>
    </row>
    <row r="70" spans="1:4" x14ac:dyDescent="0.25">
      <c r="A70" s="6">
        <v>45168</v>
      </c>
      <c r="B70">
        <v>4</v>
      </c>
      <c r="D70">
        <v>4</v>
      </c>
    </row>
    <row r="71" spans="1:4" x14ac:dyDescent="0.25">
      <c r="A71" s="6">
        <v>45169</v>
      </c>
      <c r="B71">
        <v>15</v>
      </c>
      <c r="C71">
        <v>10</v>
      </c>
      <c r="D71">
        <v>25</v>
      </c>
    </row>
    <row r="72" spans="1:4" x14ac:dyDescent="0.25">
      <c r="A72" s="6" t="s">
        <v>251</v>
      </c>
      <c r="B72">
        <v>125</v>
      </c>
      <c r="C72">
        <v>100</v>
      </c>
      <c r="D72">
        <v>225</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1844-BA60-4C30-B5B4-E4349169E28E}">
  <dimension ref="A3:I21"/>
  <sheetViews>
    <sheetView topLeftCell="B1" workbookViewId="0">
      <selection activeCell="G5" sqref="G5:G9"/>
    </sheetView>
  </sheetViews>
  <sheetFormatPr defaultRowHeight="15" x14ac:dyDescent="0.25"/>
  <cols>
    <col min="1" max="1" width="17.5703125" bestFit="1" customWidth="1"/>
    <col min="2" max="2" width="16.85546875" bestFit="1" customWidth="1"/>
    <col min="3" max="3" width="7.140625" bestFit="1" customWidth="1"/>
    <col min="4" max="4" width="11.28515625" bestFit="1" customWidth="1"/>
  </cols>
  <sheetData>
    <row r="3" spans="1:9" x14ac:dyDescent="0.25">
      <c r="A3" s="2" t="s">
        <v>252</v>
      </c>
      <c r="B3" s="2" t="s">
        <v>253</v>
      </c>
    </row>
    <row r="4" spans="1:9" x14ac:dyDescent="0.25">
      <c r="A4" s="2" t="s">
        <v>250</v>
      </c>
      <c r="B4" t="s">
        <v>18</v>
      </c>
      <c r="C4" t="s">
        <v>11</v>
      </c>
      <c r="D4" t="s">
        <v>251</v>
      </c>
      <c r="F4" t="s">
        <v>284</v>
      </c>
      <c r="G4" t="s">
        <v>285</v>
      </c>
      <c r="H4" t="s">
        <v>292</v>
      </c>
      <c r="I4" t="s">
        <v>286</v>
      </c>
    </row>
    <row r="5" spans="1:9" x14ac:dyDescent="0.25">
      <c r="A5" s="3" t="s">
        <v>255</v>
      </c>
      <c r="B5">
        <v>18</v>
      </c>
      <c r="C5">
        <v>19</v>
      </c>
      <c r="D5">
        <v>37</v>
      </c>
      <c r="F5" s="3" t="s">
        <v>255</v>
      </c>
      <c r="G5">
        <v>19</v>
      </c>
      <c r="H5" s="13">
        <v>0.51400000000000001</v>
      </c>
      <c r="I5">
        <v>37</v>
      </c>
    </row>
    <row r="6" spans="1:9" x14ac:dyDescent="0.25">
      <c r="A6" s="3" t="s">
        <v>256</v>
      </c>
      <c r="B6">
        <v>33</v>
      </c>
      <c r="C6">
        <v>21</v>
      </c>
      <c r="D6">
        <v>54</v>
      </c>
      <c r="F6" s="3" t="s">
        <v>256</v>
      </c>
      <c r="G6">
        <v>21</v>
      </c>
      <c r="H6" s="13">
        <v>0.38900000000000001</v>
      </c>
      <c r="I6">
        <v>54</v>
      </c>
    </row>
    <row r="7" spans="1:9" x14ac:dyDescent="0.25">
      <c r="A7" s="3" t="s">
        <v>257</v>
      </c>
      <c r="B7">
        <v>27</v>
      </c>
      <c r="C7">
        <v>23</v>
      </c>
      <c r="D7">
        <v>50</v>
      </c>
      <c r="F7" s="3" t="s">
        <v>257</v>
      </c>
      <c r="G7">
        <v>23</v>
      </c>
      <c r="H7" s="13">
        <v>0.46</v>
      </c>
      <c r="I7">
        <v>50</v>
      </c>
    </row>
    <row r="8" spans="1:9" x14ac:dyDescent="0.25">
      <c r="A8" s="3" t="s">
        <v>258</v>
      </c>
      <c r="B8">
        <v>23</v>
      </c>
      <c r="C8">
        <v>21</v>
      </c>
      <c r="D8">
        <v>44</v>
      </c>
      <c r="F8" s="3" t="s">
        <v>258</v>
      </c>
      <c r="G8">
        <v>21</v>
      </c>
      <c r="H8" s="13">
        <v>0.47699999999999998</v>
      </c>
      <c r="I8">
        <v>44</v>
      </c>
    </row>
    <row r="9" spans="1:9" x14ac:dyDescent="0.25">
      <c r="A9" s="3" t="s">
        <v>259</v>
      </c>
      <c r="B9">
        <v>24</v>
      </c>
      <c r="C9">
        <v>16</v>
      </c>
      <c r="D9">
        <v>40</v>
      </c>
      <c r="F9" s="3" t="s">
        <v>259</v>
      </c>
      <c r="G9">
        <v>16</v>
      </c>
      <c r="H9" s="13">
        <v>0.4</v>
      </c>
      <c r="I9">
        <v>40</v>
      </c>
    </row>
    <row r="10" spans="1:9" x14ac:dyDescent="0.25">
      <c r="A10" s="3" t="s">
        <v>251</v>
      </c>
      <c r="B10">
        <v>125</v>
      </c>
      <c r="C10">
        <v>100</v>
      </c>
      <c r="D10">
        <v>225</v>
      </c>
    </row>
    <row r="14" spans="1:9" x14ac:dyDescent="0.25">
      <c r="A14" s="2" t="s">
        <v>252</v>
      </c>
      <c r="B14" s="2" t="s">
        <v>253</v>
      </c>
    </row>
    <row r="15" spans="1:9" x14ac:dyDescent="0.25">
      <c r="A15" s="2" t="s">
        <v>250</v>
      </c>
      <c r="B15" t="s">
        <v>18</v>
      </c>
      <c r="C15" t="s">
        <v>11</v>
      </c>
      <c r="D15" t="s">
        <v>251</v>
      </c>
    </row>
    <row r="16" spans="1:9" x14ac:dyDescent="0.25">
      <c r="A16" s="3" t="s">
        <v>255</v>
      </c>
      <c r="B16" s="5">
        <v>0.48648648648648651</v>
      </c>
      <c r="C16" s="5">
        <v>0.51351351351351349</v>
      </c>
      <c r="D16" s="5">
        <v>1</v>
      </c>
    </row>
    <row r="17" spans="1:4" x14ac:dyDescent="0.25">
      <c r="A17" s="3" t="s">
        <v>256</v>
      </c>
      <c r="B17" s="5">
        <v>0.61111111111111116</v>
      </c>
      <c r="C17" s="5">
        <v>0.3888888888888889</v>
      </c>
      <c r="D17" s="5">
        <v>1</v>
      </c>
    </row>
    <row r="18" spans="1:4" x14ac:dyDescent="0.25">
      <c r="A18" s="3" t="s">
        <v>257</v>
      </c>
      <c r="B18" s="5">
        <v>0.54</v>
      </c>
      <c r="C18" s="5">
        <v>0.46</v>
      </c>
      <c r="D18" s="5">
        <v>1</v>
      </c>
    </row>
    <row r="19" spans="1:4" x14ac:dyDescent="0.25">
      <c r="A19" s="3" t="s">
        <v>258</v>
      </c>
      <c r="B19" s="5">
        <v>0.52272727272727271</v>
      </c>
      <c r="C19" s="5">
        <v>0.47727272727272729</v>
      </c>
      <c r="D19" s="5">
        <v>1</v>
      </c>
    </row>
    <row r="20" spans="1:4" x14ac:dyDescent="0.25">
      <c r="A20" s="3" t="s">
        <v>259</v>
      </c>
      <c r="B20" s="5">
        <v>0.6</v>
      </c>
      <c r="C20" s="5">
        <v>0.4</v>
      </c>
      <c r="D20" s="5">
        <v>1</v>
      </c>
    </row>
    <row r="21" spans="1:4" x14ac:dyDescent="0.25">
      <c r="A21" s="3" t="s">
        <v>251</v>
      </c>
      <c r="B21" s="5">
        <v>0.55555555555555558</v>
      </c>
      <c r="C21" s="5">
        <v>0.44444444444444442</v>
      </c>
      <c r="D21" s="5">
        <v>1</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010A-07E2-4598-97A4-41E2283EBE13}">
  <dimension ref="A3:W67"/>
  <sheetViews>
    <sheetView topLeftCell="A23" zoomScale="80" zoomScaleNormal="130" workbookViewId="0">
      <selection activeCell="F51" sqref="F51"/>
    </sheetView>
  </sheetViews>
  <sheetFormatPr defaultRowHeight="15" x14ac:dyDescent="0.25"/>
  <cols>
    <col min="1" max="1" width="17.5703125" bestFit="1" customWidth="1"/>
    <col min="2" max="2" width="17.42578125" bestFit="1" customWidth="1"/>
    <col min="3" max="3" width="7.7109375" bestFit="1" customWidth="1"/>
    <col min="4" max="5" width="11.28515625" bestFit="1" customWidth="1"/>
    <col min="6" max="6" width="7.7109375" bestFit="1" customWidth="1"/>
    <col min="7" max="7" width="11.28515625" bestFit="1" customWidth="1"/>
    <col min="8" max="8" width="11.5703125" customWidth="1"/>
    <col min="9" max="9" width="11" customWidth="1"/>
    <col min="10" max="10" width="11.28515625" customWidth="1"/>
    <col min="11" max="11" width="11.7109375" customWidth="1"/>
    <col min="12" max="12" width="8.85546875" bestFit="1" customWidth="1"/>
    <col min="13" max="13" width="10.28515625" bestFit="1" customWidth="1"/>
    <col min="14" max="14" width="11.42578125" bestFit="1" customWidth="1"/>
    <col min="15" max="15" width="9.28515625" bestFit="1" customWidth="1"/>
    <col min="16" max="16" width="9.140625" customWidth="1"/>
  </cols>
  <sheetData>
    <row r="3" spans="1:10" x14ac:dyDescent="0.25">
      <c r="A3" s="2" t="s">
        <v>252</v>
      </c>
      <c r="B3" s="2" t="s">
        <v>253</v>
      </c>
    </row>
    <row r="4" spans="1:10" x14ac:dyDescent="0.25">
      <c r="A4" s="2" t="s">
        <v>250</v>
      </c>
      <c r="B4" t="s">
        <v>18</v>
      </c>
      <c r="C4" t="s">
        <v>11</v>
      </c>
      <c r="D4" t="s">
        <v>251</v>
      </c>
    </row>
    <row r="5" spans="1:10" x14ac:dyDescent="0.25">
      <c r="A5" s="3" t="s">
        <v>22</v>
      </c>
      <c r="B5" s="5">
        <v>0.77272727272727271</v>
      </c>
      <c r="C5" s="5">
        <v>0.22727272727272727</v>
      </c>
      <c r="D5" s="5">
        <v>1</v>
      </c>
    </row>
    <row r="6" spans="1:10" x14ac:dyDescent="0.25">
      <c r="A6" s="3" t="s">
        <v>29</v>
      </c>
      <c r="B6" s="5">
        <v>0.58333333333333337</v>
      </c>
      <c r="C6" s="5">
        <v>0.41666666666666669</v>
      </c>
      <c r="D6" s="5">
        <v>1</v>
      </c>
    </row>
    <row r="7" spans="1:10" x14ac:dyDescent="0.25">
      <c r="A7" s="3" t="s">
        <v>27</v>
      </c>
      <c r="B7" s="5">
        <v>0.58139534883720934</v>
      </c>
      <c r="C7" s="5">
        <v>0.41860465116279072</v>
      </c>
      <c r="D7" s="5">
        <v>1</v>
      </c>
    </row>
    <row r="8" spans="1:10" x14ac:dyDescent="0.25">
      <c r="A8" s="3" t="s">
        <v>25</v>
      </c>
      <c r="B8" s="5">
        <v>0.42857142857142855</v>
      </c>
      <c r="C8" s="5">
        <v>0.5714285714285714</v>
      </c>
      <c r="D8" s="5">
        <v>1</v>
      </c>
    </row>
    <row r="9" spans="1:10" x14ac:dyDescent="0.25">
      <c r="A9" s="3" t="s">
        <v>17</v>
      </c>
      <c r="B9" s="5">
        <v>0.2857142857142857</v>
      </c>
      <c r="C9" s="5">
        <v>0.7142857142857143</v>
      </c>
      <c r="D9" s="5">
        <v>1</v>
      </c>
    </row>
    <row r="10" spans="1:10" x14ac:dyDescent="0.25">
      <c r="A10" s="3" t="s">
        <v>10</v>
      </c>
      <c r="B10" s="5">
        <v>0.66666666666666663</v>
      </c>
      <c r="C10" s="5">
        <v>0.33333333333333331</v>
      </c>
      <c r="D10" s="5">
        <v>1</v>
      </c>
    </row>
    <row r="11" spans="1:10" x14ac:dyDescent="0.25">
      <c r="A11" s="3" t="s">
        <v>251</v>
      </c>
      <c r="B11" s="5">
        <v>0.55555555555555558</v>
      </c>
      <c r="C11" s="5">
        <v>0.44444444444444442</v>
      </c>
      <c r="D11" s="5">
        <v>1</v>
      </c>
    </row>
    <row r="15" spans="1:10" x14ac:dyDescent="0.25">
      <c r="A15" s="2" t="s">
        <v>252</v>
      </c>
      <c r="B15" s="2" t="s">
        <v>253</v>
      </c>
    </row>
    <row r="16" spans="1:10" ht="15.75" thickBot="1" x14ac:dyDescent="0.3">
      <c r="A16" s="2" t="s">
        <v>250</v>
      </c>
      <c r="B16" t="s">
        <v>9</v>
      </c>
      <c r="C16" t="s">
        <v>16</v>
      </c>
      <c r="D16" t="s">
        <v>251</v>
      </c>
      <c r="G16" s="7" t="s">
        <v>261</v>
      </c>
      <c r="H16" s="7" t="s">
        <v>9</v>
      </c>
      <c r="I16" s="7" t="s">
        <v>16</v>
      </c>
      <c r="J16" s="7" t="s">
        <v>260</v>
      </c>
    </row>
    <row r="17" spans="1:23" x14ac:dyDescent="0.25">
      <c r="A17" s="3" t="s">
        <v>22</v>
      </c>
      <c r="B17" s="5">
        <v>1</v>
      </c>
      <c r="C17" s="5">
        <v>0</v>
      </c>
      <c r="D17" s="5">
        <v>1</v>
      </c>
      <c r="G17" s="3" t="s">
        <v>22</v>
      </c>
      <c r="H17" s="5">
        <v>1</v>
      </c>
      <c r="I17" s="5">
        <v>0</v>
      </c>
      <c r="J17" s="5">
        <v>0.22727272727272699</v>
      </c>
      <c r="L17" s="9"/>
      <c r="M17" s="9" t="s">
        <v>9</v>
      </c>
      <c r="N17" s="9" t="s">
        <v>16</v>
      </c>
      <c r="O17" s="9" t="s">
        <v>260</v>
      </c>
    </row>
    <row r="18" spans="1:23" x14ac:dyDescent="0.25">
      <c r="A18" s="3" t="s">
        <v>29</v>
      </c>
      <c r="B18" s="5">
        <v>0.5625</v>
      </c>
      <c r="C18" s="5">
        <v>0.4375</v>
      </c>
      <c r="D18" s="5">
        <v>1</v>
      </c>
      <c r="G18" s="3" t="s">
        <v>29</v>
      </c>
      <c r="H18" s="5">
        <v>0.5625</v>
      </c>
      <c r="I18" s="5">
        <v>0.4375</v>
      </c>
      <c r="J18" s="5">
        <v>0.41666666666666669</v>
      </c>
      <c r="L18" t="s">
        <v>9</v>
      </c>
      <c r="M18">
        <v>1</v>
      </c>
    </row>
    <row r="19" spans="1:23" x14ac:dyDescent="0.25">
      <c r="A19" s="3" t="s">
        <v>27</v>
      </c>
      <c r="B19" s="5">
        <v>0.48837209302325579</v>
      </c>
      <c r="C19" s="5">
        <v>0.51162790697674421</v>
      </c>
      <c r="D19" s="5">
        <v>1</v>
      </c>
      <c r="G19" s="3" t="s">
        <v>27</v>
      </c>
      <c r="H19" s="5">
        <v>0.48837209302325579</v>
      </c>
      <c r="I19" s="5">
        <v>0.51162790697674421</v>
      </c>
      <c r="J19" s="5">
        <v>0.41860465116279072</v>
      </c>
      <c r="L19" t="s">
        <v>16</v>
      </c>
      <c r="M19">
        <v>-1.0000000000000002</v>
      </c>
      <c r="N19">
        <v>1</v>
      </c>
    </row>
    <row r="20" spans="1:23" ht="15.75" thickBot="1" x14ac:dyDescent="0.3">
      <c r="A20" s="3" t="s">
        <v>25</v>
      </c>
      <c r="B20" s="5">
        <v>0.46938775510204084</v>
      </c>
      <c r="C20" s="5">
        <v>0.53061224489795922</v>
      </c>
      <c r="D20" s="5">
        <v>1</v>
      </c>
      <c r="G20" s="3" t="s">
        <v>25</v>
      </c>
      <c r="H20" s="5">
        <v>0.46938775510204084</v>
      </c>
      <c r="I20" s="5">
        <v>0.53061224489795922</v>
      </c>
      <c r="J20" s="5">
        <v>0.5714285714285714</v>
      </c>
      <c r="L20" s="8" t="s">
        <v>260</v>
      </c>
      <c r="M20" s="8">
        <v>-0.8899421080571176</v>
      </c>
      <c r="N20" s="8">
        <v>0.88994210805711715</v>
      </c>
      <c r="O20" s="8">
        <v>1</v>
      </c>
    </row>
    <row r="21" spans="1:23" x14ac:dyDescent="0.25">
      <c r="A21" s="3" t="s">
        <v>17</v>
      </c>
      <c r="B21" s="5">
        <v>0.2857142857142857</v>
      </c>
      <c r="C21" s="5">
        <v>0.7142857142857143</v>
      </c>
      <c r="D21" s="5">
        <v>1</v>
      </c>
      <c r="G21" s="3" t="s">
        <v>17</v>
      </c>
      <c r="H21" s="5">
        <v>0.2857142857142857</v>
      </c>
      <c r="I21" s="5">
        <v>0.7142857142857143</v>
      </c>
      <c r="J21" s="5">
        <v>0.7142857142857143</v>
      </c>
    </row>
    <row r="22" spans="1:23" x14ac:dyDescent="0.25">
      <c r="A22" s="3" t="s">
        <v>10</v>
      </c>
      <c r="B22" s="5">
        <v>0.59523809523809523</v>
      </c>
      <c r="C22" s="5">
        <v>0.40476190476190477</v>
      </c>
      <c r="D22" s="5">
        <v>1</v>
      </c>
      <c r="G22" s="3" t="s">
        <v>10</v>
      </c>
      <c r="H22" s="5">
        <v>0.59523809523809523</v>
      </c>
      <c r="I22" s="5">
        <v>0.40476190476190477</v>
      </c>
      <c r="J22" s="5">
        <v>0.33333333333333331</v>
      </c>
    </row>
    <row r="23" spans="1:23" x14ac:dyDescent="0.25">
      <c r="A23" s="3" t="s">
        <v>251</v>
      </c>
      <c r="B23" s="5">
        <v>0.55111111111111111</v>
      </c>
      <c r="C23" s="5">
        <v>0.44888888888888889</v>
      </c>
      <c r="D23" s="5">
        <v>1</v>
      </c>
    </row>
    <row r="26" spans="1:23" ht="15.75" thickBot="1" x14ac:dyDescent="0.3">
      <c r="A26" s="2" t="s">
        <v>252</v>
      </c>
      <c r="B26" s="2" t="s">
        <v>253</v>
      </c>
    </row>
    <row r="27" spans="1:23" x14ac:dyDescent="0.25">
      <c r="A27" s="2" t="s">
        <v>250</v>
      </c>
      <c r="B27" t="s">
        <v>255</v>
      </c>
      <c r="C27" t="s">
        <v>256</v>
      </c>
      <c r="D27" t="s">
        <v>257</v>
      </c>
      <c r="E27" t="s">
        <v>258</v>
      </c>
      <c r="F27" t="s">
        <v>259</v>
      </c>
      <c r="G27" t="s">
        <v>251</v>
      </c>
      <c r="I27" s="7" t="s">
        <v>250</v>
      </c>
      <c r="J27" s="7" t="s">
        <v>255</v>
      </c>
      <c r="K27" s="7" t="s">
        <v>256</v>
      </c>
      <c r="L27" s="7" t="s">
        <v>257</v>
      </c>
      <c r="M27" s="7" t="s">
        <v>258</v>
      </c>
      <c r="N27" s="7" t="s">
        <v>259</v>
      </c>
      <c r="O27" s="7" t="s">
        <v>260</v>
      </c>
      <c r="Q27" s="9"/>
      <c r="R27" s="9" t="s">
        <v>255</v>
      </c>
      <c r="S27" s="9" t="s">
        <v>256</v>
      </c>
      <c r="T27" s="9" t="s">
        <v>257</v>
      </c>
      <c r="U27" s="9" t="s">
        <v>258</v>
      </c>
      <c r="V27" s="9" t="s">
        <v>259</v>
      </c>
      <c r="W27" s="9" t="s">
        <v>260</v>
      </c>
    </row>
    <row r="28" spans="1:23" x14ac:dyDescent="0.25">
      <c r="A28" s="3" t="s">
        <v>22</v>
      </c>
      <c r="B28" s="5">
        <v>9.0909090909090912E-2</v>
      </c>
      <c r="C28" s="5">
        <v>0.36363636363636365</v>
      </c>
      <c r="D28" s="5">
        <v>0.13636363636363635</v>
      </c>
      <c r="E28" s="5">
        <v>0.13636363636363635</v>
      </c>
      <c r="F28" s="5">
        <v>0.27272727272727271</v>
      </c>
      <c r="G28" s="5">
        <v>1</v>
      </c>
      <c r="I28" s="3" t="s">
        <v>22</v>
      </c>
      <c r="J28" s="5">
        <v>9.0909090909090912E-2</v>
      </c>
      <c r="K28" s="5">
        <v>0.36363636363636365</v>
      </c>
      <c r="L28" s="5">
        <v>0.13636363636363635</v>
      </c>
      <c r="M28" s="5">
        <v>0.13636363636363635</v>
      </c>
      <c r="N28" s="5">
        <v>0.27272727272727271</v>
      </c>
      <c r="O28" s="5">
        <v>0.22727272727272727</v>
      </c>
      <c r="Q28" t="s">
        <v>255</v>
      </c>
      <c r="R28">
        <v>1</v>
      </c>
    </row>
    <row r="29" spans="1:23" x14ac:dyDescent="0.25">
      <c r="A29" s="3" t="s">
        <v>29</v>
      </c>
      <c r="B29" s="5">
        <v>0.22916666666666666</v>
      </c>
      <c r="C29" s="5">
        <v>0.1875</v>
      </c>
      <c r="D29" s="5">
        <v>0.20833333333333334</v>
      </c>
      <c r="E29" s="5">
        <v>0.22916666666666666</v>
      </c>
      <c r="F29" s="5">
        <v>0.14583333333333334</v>
      </c>
      <c r="G29" s="5">
        <v>1</v>
      </c>
      <c r="I29" s="3" t="s">
        <v>29</v>
      </c>
      <c r="J29" s="5">
        <v>0.22916666666666666</v>
      </c>
      <c r="K29" s="5">
        <v>0.1875</v>
      </c>
      <c r="L29" s="5">
        <v>0.20833333333333334</v>
      </c>
      <c r="M29" s="5">
        <v>0.22916666666666666</v>
      </c>
      <c r="N29" s="5">
        <v>0.14583333333333334</v>
      </c>
      <c r="O29" s="5">
        <v>0.41666666666666669</v>
      </c>
      <c r="Q29" t="s">
        <v>256</v>
      </c>
      <c r="R29">
        <v>-0.39857426252080419</v>
      </c>
      <c r="S29">
        <v>1</v>
      </c>
    </row>
    <row r="30" spans="1:23" x14ac:dyDescent="0.25">
      <c r="A30" s="3" t="s">
        <v>27</v>
      </c>
      <c r="B30" s="5">
        <v>0.23255813953488372</v>
      </c>
      <c r="C30" s="5">
        <v>0.13953488372093023</v>
      </c>
      <c r="D30" s="5">
        <v>0.32558139534883723</v>
      </c>
      <c r="E30" s="5">
        <v>0.18604651162790697</v>
      </c>
      <c r="F30" s="5">
        <v>0.11627906976744186</v>
      </c>
      <c r="G30" s="5">
        <v>1</v>
      </c>
      <c r="I30" s="3" t="s">
        <v>27</v>
      </c>
      <c r="J30" s="5">
        <v>0.23255813953488372</v>
      </c>
      <c r="K30" s="5">
        <v>0.13953488372093023</v>
      </c>
      <c r="L30" s="5">
        <v>0.32558139534883723</v>
      </c>
      <c r="M30" s="5">
        <v>0.18604651162790697</v>
      </c>
      <c r="N30" s="5">
        <v>0.11627906976744186</v>
      </c>
      <c r="O30" s="5">
        <v>0.41860465116279072</v>
      </c>
      <c r="Q30" t="s">
        <v>257</v>
      </c>
      <c r="R30">
        <v>2.3708608039966335E-2</v>
      </c>
      <c r="S30">
        <v>-0.91690244647541375</v>
      </c>
      <c r="T30">
        <v>1</v>
      </c>
    </row>
    <row r="31" spans="1:23" x14ac:dyDescent="0.25">
      <c r="A31" s="3" t="s">
        <v>25</v>
      </c>
      <c r="B31" s="5">
        <v>8.1632653061224483E-2</v>
      </c>
      <c r="C31" s="5">
        <v>0.16326530612244897</v>
      </c>
      <c r="D31" s="5">
        <v>0.38775510204081631</v>
      </c>
      <c r="E31" s="5">
        <v>0.10204081632653061</v>
      </c>
      <c r="F31" s="5">
        <v>0.26530612244897961</v>
      </c>
      <c r="G31" s="5">
        <v>1</v>
      </c>
      <c r="I31" s="3" t="s">
        <v>25</v>
      </c>
      <c r="J31" s="5">
        <v>8.1632653061224483E-2</v>
      </c>
      <c r="K31" s="5">
        <v>0.16326530612244897</v>
      </c>
      <c r="L31" s="5">
        <v>0.38775510204081631</v>
      </c>
      <c r="M31" s="5">
        <v>0.10204081632653061</v>
      </c>
      <c r="N31" s="5">
        <v>0.26530612244897961</v>
      </c>
      <c r="O31" s="5">
        <v>0.5714285714285714</v>
      </c>
      <c r="Q31" t="s">
        <v>258</v>
      </c>
      <c r="R31">
        <v>0.51277504287591269</v>
      </c>
      <c r="S31">
        <v>0.46342825816775218</v>
      </c>
      <c r="T31">
        <v>-0.74444687231336804</v>
      </c>
      <c r="U31">
        <v>1</v>
      </c>
    </row>
    <row r="32" spans="1:23" x14ac:dyDescent="0.25">
      <c r="A32" s="3" t="s">
        <v>17</v>
      </c>
      <c r="B32" s="5">
        <v>0.14285714285714285</v>
      </c>
      <c r="C32" s="5">
        <v>0.38095238095238093</v>
      </c>
      <c r="D32" s="5">
        <v>4.7619047619047616E-2</v>
      </c>
      <c r="E32" s="5">
        <v>0.2857142857142857</v>
      </c>
      <c r="F32" s="5">
        <v>0.14285714285714285</v>
      </c>
      <c r="G32" s="5">
        <v>1</v>
      </c>
      <c r="I32" s="3" t="s">
        <v>17</v>
      </c>
      <c r="J32" s="5">
        <v>0.14285714285714285</v>
      </c>
      <c r="K32" s="5">
        <v>0.38095238095238093</v>
      </c>
      <c r="L32" s="5">
        <v>4.7619047619047616E-2</v>
      </c>
      <c r="M32" s="5">
        <v>0.2857142857142857</v>
      </c>
      <c r="N32" s="5">
        <v>0.14285714285714285</v>
      </c>
      <c r="O32" s="5">
        <v>0.7142857142857143</v>
      </c>
      <c r="Q32" t="s">
        <v>259</v>
      </c>
      <c r="R32">
        <v>-0.87360316357616563</v>
      </c>
      <c r="S32">
        <v>8.6640368644655477E-2</v>
      </c>
      <c r="T32">
        <v>0.25835429433392787</v>
      </c>
      <c r="U32">
        <v>-0.79897924569191503</v>
      </c>
      <c r="V32">
        <v>1</v>
      </c>
    </row>
    <row r="33" spans="1:23" ht="15.75" thickBot="1" x14ac:dyDescent="0.3">
      <c r="A33" s="3" t="s">
        <v>10</v>
      </c>
      <c r="B33" s="5">
        <v>0.16666666666666666</v>
      </c>
      <c r="C33" s="5">
        <v>0.35714285714285715</v>
      </c>
      <c r="D33" s="5">
        <v>7.1428571428571425E-2</v>
      </c>
      <c r="E33" s="5">
        <v>0.26190476190476192</v>
      </c>
      <c r="F33" s="5">
        <v>0.14285714285714285</v>
      </c>
      <c r="G33" s="5">
        <v>1</v>
      </c>
      <c r="I33" s="3" t="s">
        <v>10</v>
      </c>
      <c r="J33" s="5">
        <v>0.16666666666666666</v>
      </c>
      <c r="K33" s="5">
        <v>0.35714285714285715</v>
      </c>
      <c r="L33" s="5">
        <v>7.1428571428571425E-2</v>
      </c>
      <c r="M33" s="5">
        <v>0.26190476190476192</v>
      </c>
      <c r="N33" s="5">
        <v>0.14285714285714285</v>
      </c>
      <c r="O33" s="5">
        <v>0.33333333333333331</v>
      </c>
      <c r="Q33" s="8" t="s">
        <v>260</v>
      </c>
      <c r="R33" s="8">
        <v>-7.2098068591078562E-2</v>
      </c>
      <c r="S33" s="8">
        <v>-8.0813454304582019E-2</v>
      </c>
      <c r="T33" s="8">
        <v>6.2164909166048457E-2</v>
      </c>
      <c r="U33" s="8">
        <v>0.2759124568128925</v>
      </c>
      <c r="V33" s="8">
        <v>-0.21106727914461701</v>
      </c>
      <c r="W33" s="8">
        <v>1</v>
      </c>
    </row>
    <row r="34" spans="1:23" x14ac:dyDescent="0.25">
      <c r="A34" s="3" t="s">
        <v>251</v>
      </c>
      <c r="B34" s="5">
        <v>0.16444444444444445</v>
      </c>
      <c r="C34" s="5">
        <v>0.24</v>
      </c>
      <c r="D34" s="5">
        <v>0.22222222222222221</v>
      </c>
      <c r="E34" s="5">
        <v>0.19555555555555557</v>
      </c>
      <c r="F34" s="5">
        <v>0.17777777777777778</v>
      </c>
      <c r="G34" s="5">
        <v>1</v>
      </c>
    </row>
    <row r="37" spans="1:23" ht="15.75" thickBot="1" x14ac:dyDescent="0.3">
      <c r="A37" s="2" t="s">
        <v>252</v>
      </c>
      <c r="B37" s="2" t="s">
        <v>253</v>
      </c>
    </row>
    <row r="38" spans="1:23" x14ac:dyDescent="0.25">
      <c r="A38" s="2" t="s">
        <v>250</v>
      </c>
      <c r="B38" t="s">
        <v>12</v>
      </c>
      <c r="C38" t="s">
        <v>23</v>
      </c>
      <c r="D38" t="s">
        <v>251</v>
      </c>
      <c r="I38" s="7" t="s">
        <v>250</v>
      </c>
      <c r="J38" s="7" t="s">
        <v>12</v>
      </c>
      <c r="K38" s="7" t="s">
        <v>23</v>
      </c>
      <c r="L38" s="7" t="s">
        <v>260</v>
      </c>
      <c r="N38" s="9"/>
      <c r="O38" s="9" t="s">
        <v>12</v>
      </c>
      <c r="P38" s="9" t="s">
        <v>23</v>
      </c>
      <c r="Q38" s="9" t="s">
        <v>260</v>
      </c>
    </row>
    <row r="39" spans="1:23" x14ac:dyDescent="0.25">
      <c r="A39" s="3" t="s">
        <v>22</v>
      </c>
      <c r="B39" s="5">
        <v>0.77272727272727271</v>
      </c>
      <c r="C39" s="5">
        <v>0.22727272727272727</v>
      </c>
      <c r="D39" s="5">
        <v>1</v>
      </c>
      <c r="I39" s="3" t="s">
        <v>22</v>
      </c>
      <c r="J39" s="5">
        <v>0.77272727272727271</v>
      </c>
      <c r="K39" s="5">
        <v>0.22727272727272727</v>
      </c>
      <c r="L39" s="5">
        <v>0.22727272727272727</v>
      </c>
      <c r="N39" t="s">
        <v>12</v>
      </c>
      <c r="O39">
        <v>1</v>
      </c>
    </row>
    <row r="40" spans="1:23" x14ac:dyDescent="0.25">
      <c r="A40" s="3" t="s">
        <v>29</v>
      </c>
      <c r="B40" s="5">
        <v>0.75</v>
      </c>
      <c r="C40" s="5">
        <v>0.25</v>
      </c>
      <c r="D40" s="5">
        <v>1</v>
      </c>
      <c r="I40" s="3" t="s">
        <v>29</v>
      </c>
      <c r="J40" s="5">
        <v>0.75</v>
      </c>
      <c r="K40" s="5">
        <v>0.25</v>
      </c>
      <c r="L40" s="5">
        <v>0.41666666666666669</v>
      </c>
      <c r="N40" t="s">
        <v>23</v>
      </c>
      <c r="O40">
        <v>-0.99999999999999989</v>
      </c>
      <c r="P40">
        <v>1</v>
      </c>
    </row>
    <row r="41" spans="1:23" ht="15.75" thickBot="1" x14ac:dyDescent="0.3">
      <c r="A41" s="3" t="s">
        <v>27</v>
      </c>
      <c r="B41" s="5">
        <v>0.53488372093023251</v>
      </c>
      <c r="C41" s="5">
        <v>0.46511627906976744</v>
      </c>
      <c r="D41" s="5">
        <v>1</v>
      </c>
      <c r="I41" s="3" t="s">
        <v>27</v>
      </c>
      <c r="J41" s="5">
        <v>0.53488372093023251</v>
      </c>
      <c r="K41" s="5">
        <v>0.46511627906976744</v>
      </c>
      <c r="L41" s="5">
        <v>0.41860465116279072</v>
      </c>
      <c r="N41" s="8" t="s">
        <v>260</v>
      </c>
      <c r="O41" s="8">
        <v>-0.37089754665243568</v>
      </c>
      <c r="P41" s="8">
        <v>0.37089754665243568</v>
      </c>
      <c r="Q41" s="8">
        <v>1</v>
      </c>
    </row>
    <row r="42" spans="1:23" x14ac:dyDescent="0.25">
      <c r="A42" s="3" t="s">
        <v>25</v>
      </c>
      <c r="B42" s="5">
        <v>0.44897959183673469</v>
      </c>
      <c r="C42" s="5">
        <v>0.55102040816326525</v>
      </c>
      <c r="D42" s="5">
        <v>1</v>
      </c>
      <c r="I42" s="3" t="s">
        <v>25</v>
      </c>
      <c r="J42" s="5">
        <v>0.44897959183673469</v>
      </c>
      <c r="K42" s="5">
        <v>0.55102040816326525</v>
      </c>
      <c r="L42" s="5">
        <v>0.5714285714285714</v>
      </c>
      <c r="P42" s="5"/>
    </row>
    <row r="43" spans="1:23" x14ac:dyDescent="0.25">
      <c r="A43" s="3" t="s">
        <v>17</v>
      </c>
      <c r="B43" s="5">
        <v>0.61904761904761907</v>
      </c>
      <c r="C43" s="5">
        <v>0.38095238095238093</v>
      </c>
      <c r="D43" s="5">
        <v>1</v>
      </c>
      <c r="I43" s="3" t="s">
        <v>17</v>
      </c>
      <c r="J43" s="5">
        <v>0.61904761904761907</v>
      </c>
      <c r="K43" s="5">
        <v>0.38095238095238093</v>
      </c>
      <c r="L43" s="5">
        <v>0.7142857142857143</v>
      </c>
      <c r="P43" s="5"/>
    </row>
    <row r="44" spans="1:23" x14ac:dyDescent="0.25">
      <c r="A44" s="3" t="s">
        <v>10</v>
      </c>
      <c r="B44" s="5">
        <v>0.5</v>
      </c>
      <c r="C44" s="5">
        <v>0.5</v>
      </c>
      <c r="D44" s="5">
        <v>1</v>
      </c>
      <c r="I44" s="3" t="s">
        <v>10</v>
      </c>
      <c r="J44" s="5">
        <v>0.5</v>
      </c>
      <c r="K44" s="5">
        <v>0.5</v>
      </c>
      <c r="L44" s="5">
        <v>0.33333333333333331</v>
      </c>
      <c r="P44" s="5"/>
    </row>
    <row r="45" spans="1:23" x14ac:dyDescent="0.25">
      <c r="A45" s="3" t="s">
        <v>251</v>
      </c>
      <c r="B45" s="5">
        <v>0.58666666666666667</v>
      </c>
      <c r="C45" s="5">
        <v>0.41333333333333333</v>
      </c>
      <c r="D45" s="5">
        <v>1</v>
      </c>
    </row>
    <row r="48" spans="1:23" ht="15.75" thickBot="1" x14ac:dyDescent="0.3">
      <c r="A48" s="2" t="s">
        <v>252</v>
      </c>
      <c r="B48" s="2" t="s">
        <v>253</v>
      </c>
    </row>
    <row r="49" spans="1:18" x14ac:dyDescent="0.25">
      <c r="A49" s="2" t="s">
        <v>250</v>
      </c>
      <c r="B49" t="s">
        <v>19</v>
      </c>
      <c r="C49" t="s">
        <v>33</v>
      </c>
      <c r="D49" t="s">
        <v>13</v>
      </c>
      <c r="E49" t="s">
        <v>251</v>
      </c>
      <c r="H49" s="7" t="s">
        <v>250</v>
      </c>
      <c r="I49" s="7" t="s">
        <v>19</v>
      </c>
      <c r="J49" s="7" t="s">
        <v>33</v>
      </c>
      <c r="K49" s="7" t="s">
        <v>13</v>
      </c>
      <c r="L49" s="7" t="s">
        <v>260</v>
      </c>
      <c r="N49" s="9"/>
      <c r="O49" s="9" t="s">
        <v>19</v>
      </c>
      <c r="P49" s="9" t="s">
        <v>33</v>
      </c>
      <c r="Q49" s="9" t="s">
        <v>13</v>
      </c>
      <c r="R49" s="9" t="s">
        <v>260</v>
      </c>
    </row>
    <row r="50" spans="1:18" x14ac:dyDescent="0.25">
      <c r="A50" s="3" t="s">
        <v>22</v>
      </c>
      <c r="B50" s="5">
        <v>0.54545454545454541</v>
      </c>
      <c r="C50" s="5">
        <v>0.40909090909090912</v>
      </c>
      <c r="D50" s="5">
        <v>4.5454545454545456E-2</v>
      </c>
      <c r="E50" s="5">
        <v>1</v>
      </c>
      <c r="H50" s="3" t="s">
        <v>22</v>
      </c>
      <c r="I50" s="5">
        <v>0.54545454545454541</v>
      </c>
      <c r="J50" s="5">
        <v>0.40909090909090912</v>
      </c>
      <c r="K50" s="5">
        <v>4.5454545454545456E-2</v>
      </c>
      <c r="L50" s="5">
        <v>0.22727272727272727</v>
      </c>
      <c r="N50" t="s">
        <v>19</v>
      </c>
      <c r="O50">
        <v>1</v>
      </c>
    </row>
    <row r="51" spans="1:18" x14ac:dyDescent="0.25">
      <c r="A51" s="3" t="s">
        <v>29</v>
      </c>
      <c r="B51" s="5">
        <v>0.5</v>
      </c>
      <c r="C51" s="5">
        <v>0.125</v>
      </c>
      <c r="D51" s="5">
        <v>0.375</v>
      </c>
      <c r="E51" s="5">
        <v>1</v>
      </c>
      <c r="H51" s="3" t="s">
        <v>29</v>
      </c>
      <c r="I51" s="5">
        <v>0.5</v>
      </c>
      <c r="J51" s="5">
        <v>0.125</v>
      </c>
      <c r="K51" s="5">
        <v>0.375</v>
      </c>
      <c r="L51" s="5">
        <v>0.41666666666666669</v>
      </c>
      <c r="N51" t="s">
        <v>33</v>
      </c>
      <c r="O51">
        <v>0.37355109726113428</v>
      </c>
      <c r="P51">
        <v>1</v>
      </c>
    </row>
    <row r="52" spans="1:18" x14ac:dyDescent="0.25">
      <c r="A52" s="3" t="s">
        <v>27</v>
      </c>
      <c r="B52" s="5">
        <v>0.34883720930232559</v>
      </c>
      <c r="C52" s="5">
        <v>4.6511627906976744E-2</v>
      </c>
      <c r="D52" s="5">
        <v>0.60465116279069764</v>
      </c>
      <c r="E52" s="5">
        <v>1</v>
      </c>
      <c r="H52" s="3" t="s">
        <v>27</v>
      </c>
      <c r="I52" s="5">
        <v>0.34883720930232559</v>
      </c>
      <c r="J52" s="5">
        <v>4.6511627906976744E-2</v>
      </c>
      <c r="K52" s="5">
        <v>0.60465116279069764</v>
      </c>
      <c r="L52" s="5">
        <v>0.41860465116279072</v>
      </c>
      <c r="N52" t="s">
        <v>13</v>
      </c>
      <c r="O52">
        <v>-0.73478194305764011</v>
      </c>
      <c r="P52">
        <v>-0.90367934514868065</v>
      </c>
      <c r="Q52">
        <v>1</v>
      </c>
    </row>
    <row r="53" spans="1:18" ht="15.75" thickBot="1" x14ac:dyDescent="0.3">
      <c r="A53" s="3" t="s">
        <v>25</v>
      </c>
      <c r="B53" s="5">
        <v>0.38775510204081631</v>
      </c>
      <c r="C53" s="5">
        <v>8.1632653061224483E-2</v>
      </c>
      <c r="D53" s="5">
        <v>0.53061224489795922</v>
      </c>
      <c r="E53" s="5">
        <v>1</v>
      </c>
      <c r="H53" s="3" t="s">
        <v>25</v>
      </c>
      <c r="I53" s="5">
        <v>0.38775510204081631</v>
      </c>
      <c r="J53" s="5">
        <v>8.1632653061224483E-2</v>
      </c>
      <c r="K53" s="5">
        <v>0.53061224489795922</v>
      </c>
      <c r="L53" s="5">
        <v>0.5714285714285714</v>
      </c>
      <c r="N53" s="8" t="s">
        <v>260</v>
      </c>
      <c r="O53" s="8">
        <v>-0.60121431029520556</v>
      </c>
      <c r="P53" s="8">
        <v>-0.66968668057410485</v>
      </c>
      <c r="Q53" s="8">
        <v>0.76723722079530765</v>
      </c>
      <c r="R53" s="8">
        <v>1</v>
      </c>
    </row>
    <row r="54" spans="1:18" x14ac:dyDescent="0.25">
      <c r="A54" s="3" t="s">
        <v>17</v>
      </c>
      <c r="B54" s="5">
        <v>0.42857142857142855</v>
      </c>
      <c r="C54" s="5">
        <v>0</v>
      </c>
      <c r="D54" s="5">
        <v>0.5714285714285714</v>
      </c>
      <c r="E54" s="5">
        <v>1</v>
      </c>
      <c r="H54" s="3" t="s">
        <v>17</v>
      </c>
      <c r="I54" s="5">
        <v>0.42857142857142855</v>
      </c>
      <c r="J54" s="5">
        <v>0</v>
      </c>
      <c r="K54" s="5">
        <v>0.5714285714285714</v>
      </c>
      <c r="L54" s="5">
        <v>0.7142857142857143</v>
      </c>
    </row>
    <row r="55" spans="1:18" x14ac:dyDescent="0.25">
      <c r="A55" s="3" t="s">
        <v>10</v>
      </c>
      <c r="B55" s="5">
        <v>0.59523809523809523</v>
      </c>
      <c r="C55" s="5">
        <v>2.3809523809523808E-2</v>
      </c>
      <c r="D55" s="5">
        <v>0.38095238095238093</v>
      </c>
      <c r="E55" s="5">
        <v>1</v>
      </c>
      <c r="H55" s="3" t="s">
        <v>10</v>
      </c>
      <c r="I55" s="5">
        <v>0.59523809523809523</v>
      </c>
      <c r="J55" s="5">
        <v>2.3809523809523808E-2</v>
      </c>
      <c r="K55" s="5">
        <v>0.38095238095238093</v>
      </c>
      <c r="L55" s="5">
        <v>0.33333333333333331</v>
      </c>
    </row>
    <row r="56" spans="1:18" x14ac:dyDescent="0.25">
      <c r="A56" s="3" t="s">
        <v>251</v>
      </c>
      <c r="B56" s="5">
        <v>0.4622222222222222</v>
      </c>
      <c r="C56" s="5">
        <v>9.7777777777777783E-2</v>
      </c>
      <c r="D56" s="5">
        <v>0.44</v>
      </c>
      <c r="E56" s="5">
        <v>1</v>
      </c>
    </row>
    <row r="59" spans="1:18" ht="15.75" thickBot="1" x14ac:dyDescent="0.3">
      <c r="A59" s="2" t="s">
        <v>252</v>
      </c>
      <c r="B59" s="2" t="s">
        <v>253</v>
      </c>
    </row>
    <row r="60" spans="1:18" x14ac:dyDescent="0.25">
      <c r="A60" s="2" t="s">
        <v>250</v>
      </c>
      <c r="B60" t="s">
        <v>20</v>
      </c>
      <c r="C60" t="s">
        <v>14</v>
      </c>
      <c r="D60" t="s">
        <v>251</v>
      </c>
      <c r="G60" s="7" t="s">
        <v>250</v>
      </c>
      <c r="H60" s="7" t="s">
        <v>20</v>
      </c>
      <c r="I60" s="7" t="s">
        <v>14</v>
      </c>
      <c r="J60" s="7" t="s">
        <v>260</v>
      </c>
      <c r="L60" s="9"/>
      <c r="M60" s="9" t="s">
        <v>20</v>
      </c>
      <c r="N60" s="9" t="s">
        <v>14</v>
      </c>
      <c r="O60" s="9" t="s">
        <v>260</v>
      </c>
    </row>
    <row r="61" spans="1:18" x14ac:dyDescent="0.25">
      <c r="A61" s="3" t="s">
        <v>22</v>
      </c>
      <c r="B61" s="5">
        <v>0.40909090909090912</v>
      </c>
      <c r="C61" s="5">
        <v>0.59090909090909094</v>
      </c>
      <c r="D61" s="5">
        <v>1</v>
      </c>
      <c r="G61" s="3" t="s">
        <v>22</v>
      </c>
      <c r="H61" s="5">
        <v>0.40909090909090912</v>
      </c>
      <c r="I61" s="5">
        <v>0.59090909090909094</v>
      </c>
      <c r="J61" s="5">
        <v>0.22727272727272699</v>
      </c>
      <c r="L61" t="s">
        <v>20</v>
      </c>
      <c r="M61">
        <v>1</v>
      </c>
    </row>
    <row r="62" spans="1:18" x14ac:dyDescent="0.25">
      <c r="A62" s="3" t="s">
        <v>29</v>
      </c>
      <c r="B62" s="5">
        <v>0.35416666666666669</v>
      </c>
      <c r="C62" s="5">
        <v>0.64583333333333337</v>
      </c>
      <c r="D62" s="5">
        <v>1</v>
      </c>
      <c r="G62" s="3" t="s">
        <v>29</v>
      </c>
      <c r="H62" s="5">
        <v>0.35416666666666669</v>
      </c>
      <c r="I62" s="5">
        <v>0.64583333333333337</v>
      </c>
      <c r="J62" s="5">
        <v>0.41666666666666669</v>
      </c>
      <c r="L62" t="s">
        <v>14</v>
      </c>
      <c r="M62">
        <v>-0.99999999999999978</v>
      </c>
      <c r="N62">
        <v>1</v>
      </c>
    </row>
    <row r="63" spans="1:18" ht="15.75" thickBot="1" x14ac:dyDescent="0.3">
      <c r="A63" s="3" t="s">
        <v>27</v>
      </c>
      <c r="B63" s="5">
        <v>0.27906976744186046</v>
      </c>
      <c r="C63" s="5">
        <v>0.72093023255813948</v>
      </c>
      <c r="D63" s="5">
        <v>1</v>
      </c>
      <c r="G63" s="3" t="s">
        <v>27</v>
      </c>
      <c r="H63" s="5">
        <v>0.27906976744186046</v>
      </c>
      <c r="I63" s="5">
        <v>0.72093023255813948</v>
      </c>
      <c r="J63" s="5">
        <v>0.41860465116279072</v>
      </c>
      <c r="L63" s="8" t="s">
        <v>260</v>
      </c>
      <c r="M63" s="8">
        <v>-0.88058657493085268</v>
      </c>
      <c r="N63" s="8">
        <v>0.88058657493085279</v>
      </c>
      <c r="O63" s="8">
        <v>1</v>
      </c>
    </row>
    <row r="64" spans="1:18" x14ac:dyDescent="0.25">
      <c r="A64" s="3" t="s">
        <v>25</v>
      </c>
      <c r="B64" s="5">
        <v>0.12244897959183673</v>
      </c>
      <c r="C64" s="5">
        <v>0.87755102040816324</v>
      </c>
      <c r="D64" s="5">
        <v>1</v>
      </c>
      <c r="G64" s="3" t="s">
        <v>25</v>
      </c>
      <c r="H64" s="5">
        <v>0.12244897959183673</v>
      </c>
      <c r="I64" s="5">
        <v>0.87755102040816324</v>
      </c>
      <c r="J64" s="5">
        <v>0.5714285714285714</v>
      </c>
    </row>
    <row r="65" spans="1:10" x14ac:dyDescent="0.25">
      <c r="A65" s="3" t="s">
        <v>17</v>
      </c>
      <c r="B65" s="5">
        <v>4.7619047619047616E-2</v>
      </c>
      <c r="C65" s="5">
        <v>0.95238095238095233</v>
      </c>
      <c r="D65" s="5">
        <v>1</v>
      </c>
      <c r="G65" s="3" t="s">
        <v>17</v>
      </c>
      <c r="H65" s="5">
        <v>4.7619047619047616E-2</v>
      </c>
      <c r="I65" s="5">
        <v>0.95238095238095233</v>
      </c>
      <c r="J65" s="5">
        <v>0.7142857142857143</v>
      </c>
    </row>
    <row r="66" spans="1:10" x14ac:dyDescent="0.25">
      <c r="A66" s="3" t="s">
        <v>10</v>
      </c>
      <c r="B66" s="5">
        <v>0.21428571428571427</v>
      </c>
      <c r="C66" s="5">
        <v>0.7857142857142857</v>
      </c>
      <c r="D66" s="5">
        <v>1</v>
      </c>
      <c r="G66" s="3" t="s">
        <v>10</v>
      </c>
      <c r="H66" s="5">
        <v>0.21428571428571427</v>
      </c>
      <c r="I66" s="5">
        <v>0.7857142857142857</v>
      </c>
      <c r="J66" s="5">
        <v>0.33333333333333331</v>
      </c>
    </row>
    <row r="67" spans="1:10" x14ac:dyDescent="0.25">
      <c r="A67" s="3" t="s">
        <v>251</v>
      </c>
      <c r="B67" s="5">
        <v>0.24</v>
      </c>
      <c r="C67" s="5">
        <v>0.76</v>
      </c>
      <c r="D67" s="5">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F8ECB-6F68-4AFE-A243-111F17A5D576}">
  <dimension ref="A1:I226"/>
  <sheetViews>
    <sheetView topLeftCell="A2" workbookViewId="0">
      <selection activeCell="D10" sqref="D10"/>
    </sheetView>
  </sheetViews>
  <sheetFormatPr defaultRowHeight="15" x14ac:dyDescent="0.25"/>
  <cols>
    <col min="1" max="1" width="11.28515625" bestFit="1" customWidth="1"/>
    <col min="2" max="2" width="16.5703125" bestFit="1" customWidth="1"/>
    <col min="3" max="3" width="15.42578125" bestFit="1" customWidth="1"/>
    <col min="4" max="4" width="13.7109375" bestFit="1" customWidth="1"/>
    <col min="5" max="5" width="8.5703125" bestFit="1" customWidth="1"/>
    <col min="6" max="6" width="11" bestFit="1" customWidth="1"/>
    <col min="7" max="7" width="11.7109375" bestFit="1" customWidth="1"/>
    <col min="8" max="8" width="12.85546875" bestFit="1" customWidth="1"/>
    <col min="9" max="9" width="17" bestFit="1" customWidth="1"/>
  </cols>
  <sheetData>
    <row r="1" spans="1:9" x14ac:dyDescent="0.25">
      <c r="A1" t="s">
        <v>0</v>
      </c>
      <c r="B1" t="s">
        <v>1</v>
      </c>
      <c r="C1" t="s">
        <v>2</v>
      </c>
      <c r="D1" t="s">
        <v>3</v>
      </c>
      <c r="E1" t="s">
        <v>4</v>
      </c>
      <c r="F1" t="s">
        <v>5</v>
      </c>
      <c r="G1" t="s">
        <v>6</v>
      </c>
      <c r="H1" t="s">
        <v>7</v>
      </c>
      <c r="I1" t="s">
        <v>254</v>
      </c>
    </row>
    <row r="2" spans="1:9" x14ac:dyDescent="0.25">
      <c r="A2" t="s">
        <v>8</v>
      </c>
      <c r="B2" t="s">
        <v>9</v>
      </c>
      <c r="C2" t="s">
        <v>10</v>
      </c>
      <c r="D2" s="1">
        <v>45139</v>
      </c>
      <c r="E2" t="s">
        <v>11</v>
      </c>
      <c r="F2" t="s">
        <v>12</v>
      </c>
      <c r="G2" t="s">
        <v>13</v>
      </c>
      <c r="H2" t="s">
        <v>14</v>
      </c>
      <c r="I2" t="s">
        <v>255</v>
      </c>
    </row>
    <row r="3" spans="1:9" x14ac:dyDescent="0.25">
      <c r="A3" t="s">
        <v>15</v>
      </c>
      <c r="B3" t="s">
        <v>16</v>
      </c>
      <c r="C3" t="s">
        <v>17</v>
      </c>
      <c r="D3" s="1">
        <v>45140</v>
      </c>
      <c r="E3" t="s">
        <v>18</v>
      </c>
      <c r="F3" t="s">
        <v>12</v>
      </c>
      <c r="G3" t="s">
        <v>19</v>
      </c>
      <c r="H3" t="s">
        <v>20</v>
      </c>
      <c r="I3" t="s">
        <v>255</v>
      </c>
    </row>
    <row r="4" spans="1:9" x14ac:dyDescent="0.25">
      <c r="A4" t="s">
        <v>21</v>
      </c>
      <c r="B4" t="s">
        <v>9</v>
      </c>
      <c r="C4" t="s">
        <v>22</v>
      </c>
      <c r="D4" s="1">
        <v>45141</v>
      </c>
      <c r="E4" t="s">
        <v>18</v>
      </c>
      <c r="F4" t="s">
        <v>23</v>
      </c>
      <c r="G4" t="s">
        <v>19</v>
      </c>
      <c r="H4" t="s">
        <v>14</v>
      </c>
      <c r="I4" t="s">
        <v>255</v>
      </c>
    </row>
    <row r="5" spans="1:9" x14ac:dyDescent="0.25">
      <c r="A5" t="s">
        <v>24</v>
      </c>
      <c r="B5" t="s">
        <v>9</v>
      </c>
      <c r="C5" t="s">
        <v>25</v>
      </c>
      <c r="D5" s="1">
        <v>45142</v>
      </c>
      <c r="E5" t="s">
        <v>18</v>
      </c>
      <c r="F5" t="s">
        <v>23</v>
      </c>
      <c r="G5" t="s">
        <v>13</v>
      </c>
      <c r="H5" t="s">
        <v>14</v>
      </c>
      <c r="I5" t="s">
        <v>255</v>
      </c>
    </row>
    <row r="6" spans="1:9" x14ac:dyDescent="0.25">
      <c r="A6" t="s">
        <v>26</v>
      </c>
      <c r="B6" t="s">
        <v>16</v>
      </c>
      <c r="C6" t="s">
        <v>27</v>
      </c>
      <c r="D6" s="1">
        <v>45143</v>
      </c>
      <c r="E6" t="s">
        <v>11</v>
      </c>
      <c r="F6" t="s">
        <v>12</v>
      </c>
      <c r="G6" t="s">
        <v>13</v>
      </c>
      <c r="H6" t="s">
        <v>14</v>
      </c>
      <c r="I6" t="s">
        <v>255</v>
      </c>
    </row>
    <row r="7" spans="1:9" x14ac:dyDescent="0.25">
      <c r="A7" t="s">
        <v>28</v>
      </c>
      <c r="B7" t="s">
        <v>9</v>
      </c>
      <c r="C7" t="s">
        <v>29</v>
      </c>
      <c r="D7" s="1">
        <v>45144</v>
      </c>
      <c r="E7" t="s">
        <v>18</v>
      </c>
      <c r="F7" t="s">
        <v>12</v>
      </c>
      <c r="G7" t="s">
        <v>19</v>
      </c>
      <c r="H7" t="s">
        <v>20</v>
      </c>
      <c r="I7" t="s">
        <v>255</v>
      </c>
    </row>
    <row r="8" spans="1:9" x14ac:dyDescent="0.25">
      <c r="A8" t="s">
        <v>30</v>
      </c>
      <c r="B8" t="s">
        <v>9</v>
      </c>
      <c r="C8" t="s">
        <v>10</v>
      </c>
      <c r="D8" s="1">
        <v>45145</v>
      </c>
      <c r="E8" t="s">
        <v>18</v>
      </c>
      <c r="F8" t="s">
        <v>23</v>
      </c>
      <c r="G8" t="s">
        <v>19</v>
      </c>
      <c r="H8" t="s">
        <v>14</v>
      </c>
      <c r="I8" t="s">
        <v>256</v>
      </c>
    </row>
    <row r="9" spans="1:9" x14ac:dyDescent="0.25">
      <c r="A9" t="s">
        <v>31</v>
      </c>
      <c r="B9" t="s">
        <v>16</v>
      </c>
      <c r="C9" t="s">
        <v>17</v>
      </c>
      <c r="D9" s="1">
        <v>45146</v>
      </c>
      <c r="E9" t="s">
        <v>11</v>
      </c>
      <c r="F9" t="s">
        <v>12</v>
      </c>
      <c r="G9" t="s">
        <v>13</v>
      </c>
      <c r="H9" t="s">
        <v>14</v>
      </c>
      <c r="I9" t="s">
        <v>256</v>
      </c>
    </row>
    <row r="10" spans="1:9" x14ac:dyDescent="0.25">
      <c r="A10" t="s">
        <v>32</v>
      </c>
      <c r="B10" t="s">
        <v>9</v>
      </c>
      <c r="C10" t="s">
        <v>22</v>
      </c>
      <c r="D10" s="1">
        <v>45147</v>
      </c>
      <c r="E10" t="s">
        <v>18</v>
      </c>
      <c r="F10" t="s">
        <v>12</v>
      </c>
      <c r="G10" t="s">
        <v>33</v>
      </c>
      <c r="H10" t="s">
        <v>20</v>
      </c>
      <c r="I10" t="s">
        <v>256</v>
      </c>
    </row>
    <row r="11" spans="1:9" x14ac:dyDescent="0.25">
      <c r="A11" t="s">
        <v>34</v>
      </c>
      <c r="B11" t="s">
        <v>16</v>
      </c>
      <c r="C11" t="s">
        <v>25</v>
      </c>
      <c r="D11" s="1">
        <v>45148</v>
      </c>
      <c r="E11" t="s">
        <v>11</v>
      </c>
      <c r="F11" t="s">
        <v>23</v>
      </c>
      <c r="G11" t="s">
        <v>19</v>
      </c>
      <c r="H11" t="s">
        <v>14</v>
      </c>
      <c r="I11" t="s">
        <v>256</v>
      </c>
    </row>
    <row r="12" spans="1:9" x14ac:dyDescent="0.25">
      <c r="A12" t="s">
        <v>35</v>
      </c>
      <c r="B12" t="s">
        <v>9</v>
      </c>
      <c r="C12" t="s">
        <v>27</v>
      </c>
      <c r="D12" s="1">
        <v>45149</v>
      </c>
      <c r="E12" t="s">
        <v>18</v>
      </c>
      <c r="F12" t="s">
        <v>12</v>
      </c>
      <c r="G12" t="s">
        <v>19</v>
      </c>
      <c r="H12" t="s">
        <v>14</v>
      </c>
      <c r="I12" t="s">
        <v>256</v>
      </c>
    </row>
    <row r="13" spans="1:9" x14ac:dyDescent="0.25">
      <c r="A13" t="s">
        <v>36</v>
      </c>
      <c r="B13" t="s">
        <v>16</v>
      </c>
      <c r="C13" t="s">
        <v>29</v>
      </c>
      <c r="D13" s="1">
        <v>45150</v>
      </c>
      <c r="E13" t="s">
        <v>11</v>
      </c>
      <c r="F13" t="s">
        <v>12</v>
      </c>
      <c r="G13" t="s">
        <v>13</v>
      </c>
      <c r="H13" t="s">
        <v>14</v>
      </c>
      <c r="I13" t="s">
        <v>256</v>
      </c>
    </row>
    <row r="14" spans="1:9" x14ac:dyDescent="0.25">
      <c r="A14" t="s">
        <v>37</v>
      </c>
      <c r="B14" t="s">
        <v>9</v>
      </c>
      <c r="C14" t="s">
        <v>10</v>
      </c>
      <c r="D14" s="1">
        <v>45151</v>
      </c>
      <c r="E14" t="s">
        <v>18</v>
      </c>
      <c r="F14" t="s">
        <v>23</v>
      </c>
      <c r="G14" t="s">
        <v>19</v>
      </c>
      <c r="H14" t="s">
        <v>14</v>
      </c>
      <c r="I14" t="s">
        <v>256</v>
      </c>
    </row>
    <row r="15" spans="1:9" x14ac:dyDescent="0.25">
      <c r="A15" t="s">
        <v>38</v>
      </c>
      <c r="B15" t="s">
        <v>16</v>
      </c>
      <c r="C15" t="s">
        <v>25</v>
      </c>
      <c r="D15" s="1">
        <v>45152</v>
      </c>
      <c r="E15" t="s">
        <v>11</v>
      </c>
      <c r="F15" t="s">
        <v>12</v>
      </c>
      <c r="G15" t="s">
        <v>13</v>
      </c>
      <c r="H15" t="s">
        <v>14</v>
      </c>
      <c r="I15" t="s">
        <v>257</v>
      </c>
    </row>
    <row r="16" spans="1:9" x14ac:dyDescent="0.25">
      <c r="A16" t="s">
        <v>39</v>
      </c>
      <c r="B16" t="s">
        <v>9</v>
      </c>
      <c r="C16" t="s">
        <v>27</v>
      </c>
      <c r="D16" s="1">
        <v>45153</v>
      </c>
      <c r="E16" t="s">
        <v>18</v>
      </c>
      <c r="F16" t="s">
        <v>23</v>
      </c>
      <c r="G16" t="s">
        <v>13</v>
      </c>
      <c r="H16" t="s">
        <v>20</v>
      </c>
      <c r="I16" t="s">
        <v>257</v>
      </c>
    </row>
    <row r="17" spans="1:9" x14ac:dyDescent="0.25">
      <c r="A17" t="s">
        <v>40</v>
      </c>
      <c r="B17" t="s">
        <v>16</v>
      </c>
      <c r="C17" t="s">
        <v>29</v>
      </c>
      <c r="D17" s="1">
        <v>45154</v>
      </c>
      <c r="E17" t="s">
        <v>18</v>
      </c>
      <c r="F17" t="s">
        <v>12</v>
      </c>
      <c r="G17" t="s">
        <v>33</v>
      </c>
      <c r="H17" t="s">
        <v>20</v>
      </c>
      <c r="I17" t="s">
        <v>257</v>
      </c>
    </row>
    <row r="18" spans="1:9" x14ac:dyDescent="0.25">
      <c r="A18" t="s">
        <v>41</v>
      </c>
      <c r="B18" t="s">
        <v>9</v>
      </c>
      <c r="C18" t="s">
        <v>17</v>
      </c>
      <c r="D18" s="1">
        <v>45155</v>
      </c>
      <c r="E18" t="s">
        <v>11</v>
      </c>
      <c r="F18" t="s">
        <v>23</v>
      </c>
      <c r="G18" t="s">
        <v>19</v>
      </c>
      <c r="H18" t="s">
        <v>14</v>
      </c>
      <c r="I18" t="s">
        <v>257</v>
      </c>
    </row>
    <row r="19" spans="1:9" x14ac:dyDescent="0.25">
      <c r="A19" t="s">
        <v>42</v>
      </c>
      <c r="B19" t="s">
        <v>9</v>
      </c>
      <c r="C19" t="s">
        <v>22</v>
      </c>
      <c r="D19" s="1">
        <v>45156</v>
      </c>
      <c r="E19" t="s">
        <v>18</v>
      </c>
      <c r="F19" t="s">
        <v>12</v>
      </c>
      <c r="G19" t="s">
        <v>19</v>
      </c>
      <c r="H19" t="s">
        <v>14</v>
      </c>
      <c r="I19" t="s">
        <v>257</v>
      </c>
    </row>
    <row r="20" spans="1:9" x14ac:dyDescent="0.25">
      <c r="A20" t="s">
        <v>43</v>
      </c>
      <c r="B20" t="s">
        <v>16</v>
      </c>
      <c r="C20" t="s">
        <v>25</v>
      </c>
      <c r="D20" s="1">
        <v>45157</v>
      </c>
      <c r="E20" t="s">
        <v>11</v>
      </c>
      <c r="F20" t="s">
        <v>12</v>
      </c>
      <c r="G20" t="s">
        <v>13</v>
      </c>
      <c r="H20" t="s">
        <v>14</v>
      </c>
      <c r="I20" t="s">
        <v>257</v>
      </c>
    </row>
    <row r="21" spans="1:9" x14ac:dyDescent="0.25">
      <c r="A21" t="s">
        <v>44</v>
      </c>
      <c r="B21" t="s">
        <v>9</v>
      </c>
      <c r="C21" t="s">
        <v>27</v>
      </c>
      <c r="D21" s="1">
        <v>45158</v>
      </c>
      <c r="E21" t="s">
        <v>18</v>
      </c>
      <c r="F21" t="s">
        <v>23</v>
      </c>
      <c r="G21" t="s">
        <v>19</v>
      </c>
      <c r="H21" t="s">
        <v>14</v>
      </c>
      <c r="I21" t="s">
        <v>257</v>
      </c>
    </row>
    <row r="22" spans="1:9" x14ac:dyDescent="0.25">
      <c r="A22" t="s">
        <v>45</v>
      </c>
      <c r="B22" t="s">
        <v>16</v>
      </c>
      <c r="C22" t="s">
        <v>29</v>
      </c>
      <c r="D22" s="1">
        <v>45143</v>
      </c>
      <c r="E22" t="s">
        <v>11</v>
      </c>
      <c r="F22" t="s">
        <v>12</v>
      </c>
      <c r="G22" t="s">
        <v>13</v>
      </c>
      <c r="H22" t="s">
        <v>14</v>
      </c>
      <c r="I22" t="s">
        <v>255</v>
      </c>
    </row>
    <row r="23" spans="1:9" x14ac:dyDescent="0.25">
      <c r="A23" t="s">
        <v>46</v>
      </c>
      <c r="B23" t="s">
        <v>9</v>
      </c>
      <c r="C23" t="s">
        <v>10</v>
      </c>
      <c r="D23" s="1">
        <v>45146</v>
      </c>
      <c r="E23" t="s">
        <v>18</v>
      </c>
      <c r="F23" t="s">
        <v>23</v>
      </c>
      <c r="G23" t="s">
        <v>19</v>
      </c>
      <c r="H23" t="s">
        <v>20</v>
      </c>
      <c r="I23" t="s">
        <v>256</v>
      </c>
    </row>
    <row r="24" spans="1:9" x14ac:dyDescent="0.25">
      <c r="A24" t="s">
        <v>47</v>
      </c>
      <c r="B24" t="s">
        <v>16</v>
      </c>
      <c r="C24" t="s">
        <v>17</v>
      </c>
      <c r="D24" s="1">
        <v>45150</v>
      </c>
      <c r="E24" t="s">
        <v>18</v>
      </c>
      <c r="F24" t="s">
        <v>12</v>
      </c>
      <c r="G24" t="s">
        <v>13</v>
      </c>
      <c r="H24" t="s">
        <v>14</v>
      </c>
      <c r="I24" t="s">
        <v>256</v>
      </c>
    </row>
    <row r="25" spans="1:9" x14ac:dyDescent="0.25">
      <c r="A25" t="s">
        <v>48</v>
      </c>
      <c r="B25" t="s">
        <v>9</v>
      </c>
      <c r="C25" t="s">
        <v>22</v>
      </c>
      <c r="D25" s="1">
        <v>45153</v>
      </c>
      <c r="E25" t="s">
        <v>11</v>
      </c>
      <c r="F25" t="s">
        <v>23</v>
      </c>
      <c r="G25" t="s">
        <v>19</v>
      </c>
      <c r="H25" t="s">
        <v>14</v>
      </c>
      <c r="I25" t="s">
        <v>257</v>
      </c>
    </row>
    <row r="26" spans="1:9" x14ac:dyDescent="0.25">
      <c r="A26" t="s">
        <v>49</v>
      </c>
      <c r="B26" t="s">
        <v>9</v>
      </c>
      <c r="C26" t="s">
        <v>25</v>
      </c>
      <c r="D26" s="1">
        <v>45156</v>
      </c>
      <c r="E26" t="s">
        <v>18</v>
      </c>
      <c r="F26" t="s">
        <v>23</v>
      </c>
      <c r="G26" t="s">
        <v>13</v>
      </c>
      <c r="H26" t="s">
        <v>14</v>
      </c>
      <c r="I26" t="s">
        <v>257</v>
      </c>
    </row>
    <row r="27" spans="1:9" x14ac:dyDescent="0.25">
      <c r="A27" t="s">
        <v>50</v>
      </c>
      <c r="B27" t="s">
        <v>16</v>
      </c>
      <c r="C27" t="s">
        <v>27</v>
      </c>
      <c r="D27" s="1">
        <v>45160</v>
      </c>
      <c r="E27" t="s">
        <v>11</v>
      </c>
      <c r="F27" t="s">
        <v>12</v>
      </c>
      <c r="G27" t="s">
        <v>13</v>
      </c>
      <c r="H27" t="s">
        <v>14</v>
      </c>
      <c r="I27" t="s">
        <v>258</v>
      </c>
    </row>
    <row r="28" spans="1:9" x14ac:dyDescent="0.25">
      <c r="A28" t="s">
        <v>51</v>
      </c>
      <c r="B28" t="s">
        <v>9</v>
      </c>
      <c r="C28" t="s">
        <v>29</v>
      </c>
      <c r="D28" s="1">
        <v>45164</v>
      </c>
      <c r="E28" t="s">
        <v>18</v>
      </c>
      <c r="F28" t="s">
        <v>12</v>
      </c>
      <c r="G28" t="s">
        <v>19</v>
      </c>
      <c r="H28" t="s">
        <v>20</v>
      </c>
      <c r="I28" t="s">
        <v>258</v>
      </c>
    </row>
    <row r="29" spans="1:9" x14ac:dyDescent="0.25">
      <c r="A29" t="s">
        <v>52</v>
      </c>
      <c r="B29" t="s">
        <v>9</v>
      </c>
      <c r="C29" t="s">
        <v>10</v>
      </c>
      <c r="D29" s="1">
        <v>45139</v>
      </c>
      <c r="E29" t="s">
        <v>18</v>
      </c>
      <c r="F29" t="s">
        <v>23</v>
      </c>
      <c r="G29" t="s">
        <v>19</v>
      </c>
      <c r="H29" t="s">
        <v>14</v>
      </c>
      <c r="I29" t="s">
        <v>255</v>
      </c>
    </row>
    <row r="30" spans="1:9" x14ac:dyDescent="0.25">
      <c r="A30" t="s">
        <v>53</v>
      </c>
      <c r="B30" t="s">
        <v>16</v>
      </c>
      <c r="C30" t="s">
        <v>17</v>
      </c>
      <c r="D30" s="1">
        <v>45142</v>
      </c>
      <c r="E30" t="s">
        <v>11</v>
      </c>
      <c r="F30" t="s">
        <v>12</v>
      </c>
      <c r="G30" t="s">
        <v>13</v>
      </c>
      <c r="H30" t="s">
        <v>14</v>
      </c>
      <c r="I30" t="s">
        <v>255</v>
      </c>
    </row>
    <row r="31" spans="1:9" x14ac:dyDescent="0.25">
      <c r="A31" t="s">
        <v>54</v>
      </c>
      <c r="B31" t="s">
        <v>9</v>
      </c>
      <c r="C31" t="s">
        <v>22</v>
      </c>
      <c r="D31" s="1">
        <v>45145</v>
      </c>
      <c r="E31" t="s">
        <v>18</v>
      </c>
      <c r="F31" t="s">
        <v>12</v>
      </c>
      <c r="G31" t="s">
        <v>33</v>
      </c>
      <c r="H31" t="s">
        <v>20</v>
      </c>
      <c r="I31" t="s">
        <v>256</v>
      </c>
    </row>
    <row r="32" spans="1:9" x14ac:dyDescent="0.25">
      <c r="A32" t="s">
        <v>55</v>
      </c>
      <c r="B32" t="s">
        <v>16</v>
      </c>
      <c r="C32" t="s">
        <v>25</v>
      </c>
      <c r="D32" s="1">
        <v>45148</v>
      </c>
      <c r="E32" t="s">
        <v>11</v>
      </c>
      <c r="F32" t="s">
        <v>23</v>
      </c>
      <c r="G32" t="s">
        <v>19</v>
      </c>
      <c r="H32" t="s">
        <v>14</v>
      </c>
      <c r="I32" t="s">
        <v>256</v>
      </c>
    </row>
    <row r="33" spans="1:9" x14ac:dyDescent="0.25">
      <c r="A33" t="s">
        <v>56</v>
      </c>
      <c r="B33" t="s">
        <v>9</v>
      </c>
      <c r="C33" t="s">
        <v>27</v>
      </c>
      <c r="D33" s="1">
        <v>45151</v>
      </c>
      <c r="E33" t="s">
        <v>18</v>
      </c>
      <c r="F33" t="s">
        <v>12</v>
      </c>
      <c r="G33" t="s">
        <v>19</v>
      </c>
      <c r="H33" t="s">
        <v>14</v>
      </c>
      <c r="I33" t="s">
        <v>256</v>
      </c>
    </row>
    <row r="34" spans="1:9" x14ac:dyDescent="0.25">
      <c r="A34" t="s">
        <v>57</v>
      </c>
      <c r="B34" t="s">
        <v>16</v>
      </c>
      <c r="C34" t="s">
        <v>29</v>
      </c>
      <c r="D34" s="1">
        <v>45154</v>
      </c>
      <c r="E34" t="s">
        <v>11</v>
      </c>
      <c r="F34" t="s">
        <v>12</v>
      </c>
      <c r="G34" t="s">
        <v>13</v>
      </c>
      <c r="H34" t="s">
        <v>14</v>
      </c>
      <c r="I34" t="s">
        <v>257</v>
      </c>
    </row>
    <row r="35" spans="1:9" x14ac:dyDescent="0.25">
      <c r="A35" t="s">
        <v>58</v>
      </c>
      <c r="B35" t="s">
        <v>9</v>
      </c>
      <c r="C35" t="s">
        <v>10</v>
      </c>
      <c r="D35" s="1">
        <v>45157</v>
      </c>
      <c r="E35" t="s">
        <v>18</v>
      </c>
      <c r="F35" t="s">
        <v>23</v>
      </c>
      <c r="G35" t="s">
        <v>19</v>
      </c>
      <c r="H35" t="s">
        <v>14</v>
      </c>
      <c r="I35" t="s">
        <v>257</v>
      </c>
    </row>
    <row r="36" spans="1:9" x14ac:dyDescent="0.25">
      <c r="A36" t="s">
        <v>59</v>
      </c>
      <c r="B36" t="s">
        <v>16</v>
      </c>
      <c r="C36" t="s">
        <v>25</v>
      </c>
      <c r="D36" s="1">
        <v>45161</v>
      </c>
      <c r="E36" t="s">
        <v>11</v>
      </c>
      <c r="F36" t="s">
        <v>12</v>
      </c>
      <c r="G36" t="s">
        <v>13</v>
      </c>
      <c r="H36" t="s">
        <v>14</v>
      </c>
      <c r="I36" t="s">
        <v>258</v>
      </c>
    </row>
    <row r="37" spans="1:9" x14ac:dyDescent="0.25">
      <c r="A37" t="s">
        <v>60</v>
      </c>
      <c r="B37" t="s">
        <v>9</v>
      </c>
      <c r="C37" t="s">
        <v>27</v>
      </c>
      <c r="D37" s="1">
        <v>45165</v>
      </c>
      <c r="E37" t="s">
        <v>18</v>
      </c>
      <c r="F37" t="s">
        <v>23</v>
      </c>
      <c r="G37" t="s">
        <v>13</v>
      </c>
      <c r="H37" t="s">
        <v>20</v>
      </c>
      <c r="I37" t="s">
        <v>258</v>
      </c>
    </row>
    <row r="38" spans="1:9" x14ac:dyDescent="0.25">
      <c r="A38" t="s">
        <v>61</v>
      </c>
      <c r="B38" t="s">
        <v>16</v>
      </c>
      <c r="C38" t="s">
        <v>29</v>
      </c>
      <c r="D38" s="1">
        <v>45140</v>
      </c>
      <c r="E38" t="s">
        <v>18</v>
      </c>
      <c r="F38" t="s">
        <v>12</v>
      </c>
      <c r="G38" t="s">
        <v>33</v>
      </c>
      <c r="H38" t="s">
        <v>20</v>
      </c>
      <c r="I38" t="s">
        <v>255</v>
      </c>
    </row>
    <row r="39" spans="1:9" x14ac:dyDescent="0.25">
      <c r="A39" t="s">
        <v>62</v>
      </c>
      <c r="B39" t="s">
        <v>9</v>
      </c>
      <c r="C39" t="s">
        <v>17</v>
      </c>
      <c r="D39" s="1">
        <v>45144</v>
      </c>
      <c r="E39" t="s">
        <v>11</v>
      </c>
      <c r="F39" t="s">
        <v>23</v>
      </c>
      <c r="G39" t="s">
        <v>19</v>
      </c>
      <c r="H39" t="s">
        <v>14</v>
      </c>
      <c r="I39" t="s">
        <v>255</v>
      </c>
    </row>
    <row r="40" spans="1:9" x14ac:dyDescent="0.25">
      <c r="A40" t="s">
        <v>63</v>
      </c>
      <c r="B40" t="s">
        <v>9</v>
      </c>
      <c r="C40" t="s">
        <v>22</v>
      </c>
      <c r="D40" s="1">
        <v>45147</v>
      </c>
      <c r="E40" t="s">
        <v>18</v>
      </c>
      <c r="F40" t="s">
        <v>12</v>
      </c>
      <c r="G40" t="s">
        <v>19</v>
      </c>
      <c r="H40" t="s">
        <v>14</v>
      </c>
      <c r="I40" t="s">
        <v>256</v>
      </c>
    </row>
    <row r="41" spans="1:9" x14ac:dyDescent="0.25">
      <c r="A41" t="s">
        <v>64</v>
      </c>
      <c r="B41" t="s">
        <v>16</v>
      </c>
      <c r="C41" t="s">
        <v>25</v>
      </c>
      <c r="D41" s="1">
        <v>45152</v>
      </c>
      <c r="E41" t="s">
        <v>11</v>
      </c>
      <c r="F41" t="s">
        <v>12</v>
      </c>
      <c r="G41" t="s">
        <v>13</v>
      </c>
      <c r="H41" t="s">
        <v>14</v>
      </c>
      <c r="I41" t="s">
        <v>257</v>
      </c>
    </row>
    <row r="42" spans="1:9" x14ac:dyDescent="0.25">
      <c r="A42" t="s">
        <v>65</v>
      </c>
      <c r="B42" t="s">
        <v>16</v>
      </c>
      <c r="C42" t="s">
        <v>29</v>
      </c>
      <c r="D42" s="1">
        <v>45141</v>
      </c>
      <c r="E42" t="s">
        <v>11</v>
      </c>
      <c r="F42" t="s">
        <v>12</v>
      </c>
      <c r="G42" t="s">
        <v>13</v>
      </c>
      <c r="H42" t="s">
        <v>14</v>
      </c>
      <c r="I42" t="s">
        <v>255</v>
      </c>
    </row>
    <row r="43" spans="1:9" x14ac:dyDescent="0.25">
      <c r="A43" t="s">
        <v>66</v>
      </c>
      <c r="B43" t="s">
        <v>9</v>
      </c>
      <c r="C43" t="s">
        <v>10</v>
      </c>
      <c r="D43" s="1">
        <v>45144</v>
      </c>
      <c r="E43" t="s">
        <v>18</v>
      </c>
      <c r="F43" t="s">
        <v>23</v>
      </c>
      <c r="G43" t="s">
        <v>19</v>
      </c>
      <c r="H43" t="s">
        <v>20</v>
      </c>
      <c r="I43" t="s">
        <v>255</v>
      </c>
    </row>
    <row r="44" spans="1:9" x14ac:dyDescent="0.25">
      <c r="A44" t="s">
        <v>67</v>
      </c>
      <c r="B44" t="s">
        <v>16</v>
      </c>
      <c r="C44" t="s">
        <v>17</v>
      </c>
      <c r="D44" s="1">
        <v>45147</v>
      </c>
      <c r="E44" t="s">
        <v>18</v>
      </c>
      <c r="F44" t="s">
        <v>12</v>
      </c>
      <c r="G44" t="s">
        <v>13</v>
      </c>
      <c r="H44" t="s">
        <v>14</v>
      </c>
      <c r="I44" t="s">
        <v>256</v>
      </c>
    </row>
    <row r="45" spans="1:9" x14ac:dyDescent="0.25">
      <c r="A45" t="s">
        <v>68</v>
      </c>
      <c r="B45" t="s">
        <v>9</v>
      </c>
      <c r="C45" t="s">
        <v>22</v>
      </c>
      <c r="D45" s="1">
        <v>45150</v>
      </c>
      <c r="E45" t="s">
        <v>11</v>
      </c>
      <c r="F45" t="s">
        <v>23</v>
      </c>
      <c r="G45" t="s">
        <v>19</v>
      </c>
      <c r="H45" t="s">
        <v>14</v>
      </c>
      <c r="I45" t="s">
        <v>256</v>
      </c>
    </row>
    <row r="46" spans="1:9" x14ac:dyDescent="0.25">
      <c r="A46" t="s">
        <v>69</v>
      </c>
      <c r="B46" t="s">
        <v>9</v>
      </c>
      <c r="C46" t="s">
        <v>25</v>
      </c>
      <c r="D46" s="1">
        <v>45153</v>
      </c>
      <c r="E46" t="s">
        <v>18</v>
      </c>
      <c r="F46" t="s">
        <v>23</v>
      </c>
      <c r="G46" t="s">
        <v>13</v>
      </c>
      <c r="H46" t="s">
        <v>14</v>
      </c>
      <c r="I46" t="s">
        <v>257</v>
      </c>
    </row>
    <row r="47" spans="1:9" x14ac:dyDescent="0.25">
      <c r="A47" t="s">
        <v>70</v>
      </c>
      <c r="B47" t="s">
        <v>16</v>
      </c>
      <c r="C47" t="s">
        <v>27</v>
      </c>
      <c r="D47" s="1">
        <v>45156</v>
      </c>
      <c r="E47" t="s">
        <v>11</v>
      </c>
      <c r="F47" t="s">
        <v>12</v>
      </c>
      <c r="G47" t="s">
        <v>13</v>
      </c>
      <c r="H47" t="s">
        <v>14</v>
      </c>
      <c r="I47" t="s">
        <v>257</v>
      </c>
    </row>
    <row r="48" spans="1:9" x14ac:dyDescent="0.25">
      <c r="A48" t="s">
        <v>71</v>
      </c>
      <c r="B48" t="s">
        <v>9</v>
      </c>
      <c r="C48" t="s">
        <v>29</v>
      </c>
      <c r="D48" s="1">
        <v>45159</v>
      </c>
      <c r="E48" t="s">
        <v>18</v>
      </c>
      <c r="F48" t="s">
        <v>12</v>
      </c>
      <c r="G48" t="s">
        <v>19</v>
      </c>
      <c r="H48" t="s">
        <v>20</v>
      </c>
      <c r="I48" t="s">
        <v>258</v>
      </c>
    </row>
    <row r="49" spans="1:9" x14ac:dyDescent="0.25">
      <c r="A49" t="s">
        <v>72</v>
      </c>
      <c r="B49" t="s">
        <v>9</v>
      </c>
      <c r="C49" t="s">
        <v>10</v>
      </c>
      <c r="D49" s="1">
        <v>45162</v>
      </c>
      <c r="E49" t="s">
        <v>18</v>
      </c>
      <c r="F49" t="s">
        <v>23</v>
      </c>
      <c r="G49" t="s">
        <v>19</v>
      </c>
      <c r="H49" t="s">
        <v>14</v>
      </c>
      <c r="I49" t="s">
        <v>258</v>
      </c>
    </row>
    <row r="50" spans="1:9" x14ac:dyDescent="0.25">
      <c r="A50" t="s">
        <v>73</v>
      </c>
      <c r="B50" t="s">
        <v>16</v>
      </c>
      <c r="C50" t="s">
        <v>17</v>
      </c>
      <c r="D50" s="1">
        <v>45165</v>
      </c>
      <c r="E50" t="s">
        <v>11</v>
      </c>
      <c r="F50" t="s">
        <v>12</v>
      </c>
      <c r="G50" t="s">
        <v>13</v>
      </c>
      <c r="H50" t="s">
        <v>14</v>
      </c>
      <c r="I50" t="s">
        <v>258</v>
      </c>
    </row>
    <row r="51" spans="1:9" x14ac:dyDescent="0.25">
      <c r="A51" t="s">
        <v>74</v>
      </c>
      <c r="B51" t="s">
        <v>9</v>
      </c>
      <c r="C51" t="s">
        <v>22</v>
      </c>
      <c r="D51" s="1">
        <v>45168</v>
      </c>
      <c r="E51" t="s">
        <v>18</v>
      </c>
      <c r="F51" t="s">
        <v>12</v>
      </c>
      <c r="G51" t="s">
        <v>33</v>
      </c>
      <c r="H51" t="s">
        <v>20</v>
      </c>
      <c r="I51" t="s">
        <v>259</v>
      </c>
    </row>
    <row r="52" spans="1:9" x14ac:dyDescent="0.25">
      <c r="A52" t="s">
        <v>75</v>
      </c>
      <c r="B52" t="s">
        <v>16</v>
      </c>
      <c r="C52" t="s">
        <v>25</v>
      </c>
      <c r="D52" s="1">
        <v>45140</v>
      </c>
      <c r="E52" t="s">
        <v>11</v>
      </c>
      <c r="F52" t="s">
        <v>23</v>
      </c>
      <c r="G52" t="s">
        <v>19</v>
      </c>
      <c r="H52" t="s">
        <v>14</v>
      </c>
      <c r="I52" t="s">
        <v>255</v>
      </c>
    </row>
    <row r="53" spans="1:9" x14ac:dyDescent="0.25">
      <c r="A53" t="s">
        <v>76</v>
      </c>
      <c r="B53" t="s">
        <v>9</v>
      </c>
      <c r="C53" t="s">
        <v>27</v>
      </c>
      <c r="D53" s="1">
        <v>45143</v>
      </c>
      <c r="E53" t="s">
        <v>18</v>
      </c>
      <c r="F53" t="s">
        <v>12</v>
      </c>
      <c r="G53" t="s">
        <v>19</v>
      </c>
      <c r="H53" t="s">
        <v>14</v>
      </c>
      <c r="I53" t="s">
        <v>255</v>
      </c>
    </row>
    <row r="54" spans="1:9" x14ac:dyDescent="0.25">
      <c r="A54" t="s">
        <v>77</v>
      </c>
      <c r="B54" t="s">
        <v>16</v>
      </c>
      <c r="C54" t="s">
        <v>29</v>
      </c>
      <c r="D54" s="1">
        <v>45146</v>
      </c>
      <c r="E54" t="s">
        <v>11</v>
      </c>
      <c r="F54" t="s">
        <v>12</v>
      </c>
      <c r="G54" t="s">
        <v>13</v>
      </c>
      <c r="H54" t="s">
        <v>14</v>
      </c>
      <c r="I54" t="s">
        <v>256</v>
      </c>
    </row>
    <row r="55" spans="1:9" x14ac:dyDescent="0.25">
      <c r="A55" t="s">
        <v>78</v>
      </c>
      <c r="B55" t="s">
        <v>9</v>
      </c>
      <c r="C55" t="s">
        <v>10</v>
      </c>
      <c r="D55" s="1">
        <v>45149</v>
      </c>
      <c r="E55" t="s">
        <v>18</v>
      </c>
      <c r="F55" t="s">
        <v>23</v>
      </c>
      <c r="G55" t="s">
        <v>19</v>
      </c>
      <c r="H55" t="s">
        <v>14</v>
      </c>
      <c r="I55" t="s">
        <v>256</v>
      </c>
    </row>
    <row r="56" spans="1:9" x14ac:dyDescent="0.25">
      <c r="A56" t="s">
        <v>79</v>
      </c>
      <c r="B56" t="s">
        <v>16</v>
      </c>
      <c r="C56" t="s">
        <v>25</v>
      </c>
      <c r="D56" s="1">
        <v>45152</v>
      </c>
      <c r="E56" t="s">
        <v>11</v>
      </c>
      <c r="F56" t="s">
        <v>12</v>
      </c>
      <c r="G56" t="s">
        <v>13</v>
      </c>
      <c r="H56" t="s">
        <v>14</v>
      </c>
      <c r="I56" t="s">
        <v>257</v>
      </c>
    </row>
    <row r="57" spans="1:9" x14ac:dyDescent="0.25">
      <c r="A57" t="s">
        <v>80</v>
      </c>
      <c r="B57" t="s">
        <v>9</v>
      </c>
      <c r="C57" t="s">
        <v>27</v>
      </c>
      <c r="D57" s="1">
        <v>45155</v>
      </c>
      <c r="E57" t="s">
        <v>18</v>
      </c>
      <c r="F57" t="s">
        <v>23</v>
      </c>
      <c r="G57" t="s">
        <v>13</v>
      </c>
      <c r="H57" t="s">
        <v>20</v>
      </c>
      <c r="I57" t="s">
        <v>257</v>
      </c>
    </row>
    <row r="58" spans="1:9" x14ac:dyDescent="0.25">
      <c r="A58" t="s">
        <v>81</v>
      </c>
      <c r="B58" t="s">
        <v>16</v>
      </c>
      <c r="C58" t="s">
        <v>29</v>
      </c>
      <c r="D58" s="1">
        <v>45158</v>
      </c>
      <c r="E58" t="s">
        <v>18</v>
      </c>
      <c r="F58" t="s">
        <v>12</v>
      </c>
      <c r="G58" t="s">
        <v>33</v>
      </c>
      <c r="H58" t="s">
        <v>20</v>
      </c>
      <c r="I58" t="s">
        <v>257</v>
      </c>
    </row>
    <row r="59" spans="1:9" x14ac:dyDescent="0.25">
      <c r="A59" t="s">
        <v>82</v>
      </c>
      <c r="B59" t="s">
        <v>9</v>
      </c>
      <c r="C59" t="s">
        <v>17</v>
      </c>
      <c r="D59" s="1">
        <v>45161</v>
      </c>
      <c r="E59" t="s">
        <v>11</v>
      </c>
      <c r="F59" t="s">
        <v>23</v>
      </c>
      <c r="G59" t="s">
        <v>19</v>
      </c>
      <c r="H59" t="s">
        <v>14</v>
      </c>
      <c r="I59" t="s">
        <v>258</v>
      </c>
    </row>
    <row r="60" spans="1:9" x14ac:dyDescent="0.25">
      <c r="A60" t="s">
        <v>83</v>
      </c>
      <c r="B60" t="s">
        <v>9</v>
      </c>
      <c r="C60" t="s">
        <v>22</v>
      </c>
      <c r="D60" s="1">
        <v>45164</v>
      </c>
      <c r="E60" t="s">
        <v>18</v>
      </c>
      <c r="F60" t="s">
        <v>12</v>
      </c>
      <c r="G60" t="s">
        <v>19</v>
      </c>
      <c r="H60" t="s">
        <v>14</v>
      </c>
      <c r="I60" t="s">
        <v>258</v>
      </c>
    </row>
    <row r="61" spans="1:9" x14ac:dyDescent="0.25">
      <c r="A61" t="s">
        <v>84</v>
      </c>
      <c r="B61" t="s">
        <v>16</v>
      </c>
      <c r="C61" t="s">
        <v>25</v>
      </c>
      <c r="D61" s="1">
        <v>45167</v>
      </c>
      <c r="E61" t="s">
        <v>11</v>
      </c>
      <c r="F61" t="s">
        <v>12</v>
      </c>
      <c r="G61" t="s">
        <v>13</v>
      </c>
      <c r="H61" t="s">
        <v>14</v>
      </c>
      <c r="I61" t="s">
        <v>259</v>
      </c>
    </row>
    <row r="62" spans="1:9" x14ac:dyDescent="0.25">
      <c r="A62" t="s">
        <v>85</v>
      </c>
      <c r="B62" t="s">
        <v>9</v>
      </c>
      <c r="C62" t="s">
        <v>29</v>
      </c>
      <c r="D62" s="1">
        <v>45142</v>
      </c>
      <c r="E62" t="s">
        <v>18</v>
      </c>
      <c r="F62" t="s">
        <v>23</v>
      </c>
      <c r="G62" t="s">
        <v>19</v>
      </c>
      <c r="H62" t="s">
        <v>20</v>
      </c>
      <c r="I62" t="s">
        <v>255</v>
      </c>
    </row>
    <row r="63" spans="1:9" x14ac:dyDescent="0.25">
      <c r="A63" t="s">
        <v>86</v>
      </c>
      <c r="B63" t="s">
        <v>9</v>
      </c>
      <c r="C63" t="s">
        <v>10</v>
      </c>
      <c r="D63" s="1">
        <v>45145</v>
      </c>
      <c r="E63" t="s">
        <v>18</v>
      </c>
      <c r="F63" t="s">
        <v>23</v>
      </c>
      <c r="G63" t="s">
        <v>19</v>
      </c>
      <c r="H63" t="s">
        <v>14</v>
      </c>
      <c r="I63" t="s">
        <v>256</v>
      </c>
    </row>
    <row r="64" spans="1:9" x14ac:dyDescent="0.25">
      <c r="A64" t="s">
        <v>87</v>
      </c>
      <c r="B64" t="s">
        <v>16</v>
      </c>
      <c r="C64" t="s">
        <v>17</v>
      </c>
      <c r="D64" s="1">
        <v>45148</v>
      </c>
      <c r="E64" t="s">
        <v>11</v>
      </c>
      <c r="F64" t="s">
        <v>12</v>
      </c>
      <c r="G64" t="s">
        <v>13</v>
      </c>
      <c r="H64" t="s">
        <v>14</v>
      </c>
      <c r="I64" t="s">
        <v>256</v>
      </c>
    </row>
    <row r="65" spans="1:9" x14ac:dyDescent="0.25">
      <c r="A65" t="s">
        <v>88</v>
      </c>
      <c r="B65" t="s">
        <v>9</v>
      </c>
      <c r="C65" t="s">
        <v>22</v>
      </c>
      <c r="D65" s="1">
        <v>45151</v>
      </c>
      <c r="E65" t="s">
        <v>18</v>
      </c>
      <c r="F65" t="s">
        <v>12</v>
      </c>
      <c r="G65" t="s">
        <v>33</v>
      </c>
      <c r="H65" t="s">
        <v>20</v>
      </c>
      <c r="I65" t="s">
        <v>256</v>
      </c>
    </row>
    <row r="66" spans="1:9" x14ac:dyDescent="0.25">
      <c r="A66" t="s">
        <v>89</v>
      </c>
      <c r="B66" t="s">
        <v>16</v>
      </c>
      <c r="C66" t="s">
        <v>25</v>
      </c>
      <c r="D66" s="1">
        <v>45154</v>
      </c>
      <c r="E66" t="s">
        <v>11</v>
      </c>
      <c r="F66" t="s">
        <v>23</v>
      </c>
      <c r="G66" t="s">
        <v>19</v>
      </c>
      <c r="H66" t="s">
        <v>14</v>
      </c>
      <c r="I66" t="s">
        <v>257</v>
      </c>
    </row>
    <row r="67" spans="1:9" x14ac:dyDescent="0.25">
      <c r="A67" t="s">
        <v>90</v>
      </c>
      <c r="B67" t="s">
        <v>9</v>
      </c>
      <c r="C67" t="s">
        <v>27</v>
      </c>
      <c r="D67" s="1">
        <v>45157</v>
      </c>
      <c r="E67" t="s">
        <v>18</v>
      </c>
      <c r="F67" t="s">
        <v>12</v>
      </c>
      <c r="G67" t="s">
        <v>19</v>
      </c>
      <c r="H67" t="s">
        <v>14</v>
      </c>
      <c r="I67" t="s">
        <v>257</v>
      </c>
    </row>
    <row r="68" spans="1:9" x14ac:dyDescent="0.25">
      <c r="A68" t="s">
        <v>91</v>
      </c>
      <c r="B68" t="s">
        <v>16</v>
      </c>
      <c r="C68" t="s">
        <v>29</v>
      </c>
      <c r="D68" s="1">
        <v>45160</v>
      </c>
      <c r="E68" t="s">
        <v>11</v>
      </c>
      <c r="F68" t="s">
        <v>12</v>
      </c>
      <c r="G68" t="s">
        <v>13</v>
      </c>
      <c r="H68" t="s">
        <v>14</v>
      </c>
      <c r="I68" t="s">
        <v>258</v>
      </c>
    </row>
    <row r="69" spans="1:9" x14ac:dyDescent="0.25">
      <c r="A69" t="s">
        <v>92</v>
      </c>
      <c r="B69" t="s">
        <v>9</v>
      </c>
      <c r="C69" t="s">
        <v>10</v>
      </c>
      <c r="D69" s="1">
        <v>45163</v>
      </c>
      <c r="E69" t="s">
        <v>18</v>
      </c>
      <c r="F69" t="s">
        <v>23</v>
      </c>
      <c r="G69" t="s">
        <v>19</v>
      </c>
      <c r="H69" t="s">
        <v>14</v>
      </c>
      <c r="I69" t="s">
        <v>258</v>
      </c>
    </row>
    <row r="70" spans="1:9" x14ac:dyDescent="0.25">
      <c r="A70" t="s">
        <v>93</v>
      </c>
      <c r="B70" t="s">
        <v>16</v>
      </c>
      <c r="C70" t="s">
        <v>25</v>
      </c>
      <c r="D70" s="1">
        <v>45166</v>
      </c>
      <c r="E70" t="s">
        <v>11</v>
      </c>
      <c r="F70" t="s">
        <v>12</v>
      </c>
      <c r="G70" t="s">
        <v>13</v>
      </c>
      <c r="H70" t="s">
        <v>14</v>
      </c>
      <c r="I70" t="s">
        <v>259</v>
      </c>
    </row>
    <row r="71" spans="1:9" x14ac:dyDescent="0.25">
      <c r="A71" t="s">
        <v>94</v>
      </c>
      <c r="B71" t="s">
        <v>9</v>
      </c>
      <c r="C71" t="s">
        <v>27</v>
      </c>
      <c r="D71" s="1">
        <v>45139</v>
      </c>
      <c r="E71" t="s">
        <v>18</v>
      </c>
      <c r="F71" t="s">
        <v>23</v>
      </c>
      <c r="G71" t="s">
        <v>13</v>
      </c>
      <c r="H71" t="s">
        <v>20</v>
      </c>
      <c r="I71" t="s">
        <v>255</v>
      </c>
    </row>
    <row r="72" spans="1:9" x14ac:dyDescent="0.25">
      <c r="A72" t="s">
        <v>95</v>
      </c>
      <c r="B72" t="s">
        <v>16</v>
      </c>
      <c r="C72" t="s">
        <v>29</v>
      </c>
      <c r="D72" s="1">
        <v>45141</v>
      </c>
      <c r="E72" t="s">
        <v>11</v>
      </c>
      <c r="F72" t="s">
        <v>12</v>
      </c>
      <c r="G72" t="s">
        <v>13</v>
      </c>
      <c r="H72" t="s">
        <v>14</v>
      </c>
      <c r="I72" t="s">
        <v>255</v>
      </c>
    </row>
    <row r="73" spans="1:9" x14ac:dyDescent="0.25">
      <c r="A73" t="s">
        <v>96</v>
      </c>
      <c r="B73" t="s">
        <v>9</v>
      </c>
      <c r="C73" t="s">
        <v>10</v>
      </c>
      <c r="D73" s="1">
        <v>45144</v>
      </c>
      <c r="E73" t="s">
        <v>18</v>
      </c>
      <c r="F73" t="s">
        <v>23</v>
      </c>
      <c r="G73" t="s">
        <v>19</v>
      </c>
      <c r="H73" t="s">
        <v>20</v>
      </c>
      <c r="I73" t="s">
        <v>255</v>
      </c>
    </row>
    <row r="74" spans="1:9" x14ac:dyDescent="0.25">
      <c r="A74" t="s">
        <v>97</v>
      </c>
      <c r="B74" t="s">
        <v>16</v>
      </c>
      <c r="C74" t="s">
        <v>17</v>
      </c>
      <c r="D74" s="1">
        <v>45147</v>
      </c>
      <c r="E74" t="s">
        <v>18</v>
      </c>
      <c r="F74" t="s">
        <v>12</v>
      </c>
      <c r="G74" t="s">
        <v>13</v>
      </c>
      <c r="H74" t="s">
        <v>14</v>
      </c>
      <c r="I74" t="s">
        <v>256</v>
      </c>
    </row>
    <row r="75" spans="1:9" x14ac:dyDescent="0.25">
      <c r="A75" t="s">
        <v>98</v>
      </c>
      <c r="B75" t="s">
        <v>9</v>
      </c>
      <c r="C75" t="s">
        <v>22</v>
      </c>
      <c r="D75" s="1">
        <v>45150</v>
      </c>
      <c r="E75" t="s">
        <v>11</v>
      </c>
      <c r="F75" t="s">
        <v>23</v>
      </c>
      <c r="G75" t="s">
        <v>19</v>
      </c>
      <c r="H75" t="s">
        <v>14</v>
      </c>
      <c r="I75" t="s">
        <v>256</v>
      </c>
    </row>
    <row r="76" spans="1:9" x14ac:dyDescent="0.25">
      <c r="A76" t="s">
        <v>99</v>
      </c>
      <c r="B76" t="s">
        <v>9</v>
      </c>
      <c r="C76" t="s">
        <v>25</v>
      </c>
      <c r="D76" s="1">
        <v>45153</v>
      </c>
      <c r="E76" t="s">
        <v>18</v>
      </c>
      <c r="F76" t="s">
        <v>23</v>
      </c>
      <c r="G76" t="s">
        <v>13</v>
      </c>
      <c r="H76" t="s">
        <v>14</v>
      </c>
      <c r="I76" t="s">
        <v>257</v>
      </c>
    </row>
    <row r="77" spans="1:9" x14ac:dyDescent="0.25">
      <c r="A77" t="s">
        <v>100</v>
      </c>
      <c r="B77" t="s">
        <v>16</v>
      </c>
      <c r="C77" t="s">
        <v>27</v>
      </c>
      <c r="D77" s="1">
        <v>45156</v>
      </c>
      <c r="E77" t="s">
        <v>11</v>
      </c>
      <c r="F77" t="s">
        <v>12</v>
      </c>
      <c r="G77" t="s">
        <v>13</v>
      </c>
      <c r="H77" t="s">
        <v>14</v>
      </c>
      <c r="I77" t="s">
        <v>257</v>
      </c>
    </row>
    <row r="78" spans="1:9" x14ac:dyDescent="0.25">
      <c r="A78" t="s">
        <v>101</v>
      </c>
      <c r="B78" t="s">
        <v>9</v>
      </c>
      <c r="C78" t="s">
        <v>29</v>
      </c>
      <c r="D78" s="1">
        <v>45159</v>
      </c>
      <c r="E78" t="s">
        <v>18</v>
      </c>
      <c r="F78" t="s">
        <v>12</v>
      </c>
      <c r="G78" t="s">
        <v>19</v>
      </c>
      <c r="H78" t="s">
        <v>20</v>
      </c>
      <c r="I78" t="s">
        <v>258</v>
      </c>
    </row>
    <row r="79" spans="1:9" x14ac:dyDescent="0.25">
      <c r="A79" t="s">
        <v>102</v>
      </c>
      <c r="B79" t="s">
        <v>9</v>
      </c>
      <c r="C79" t="s">
        <v>10</v>
      </c>
      <c r="D79" s="1">
        <v>45162</v>
      </c>
      <c r="E79" t="s">
        <v>18</v>
      </c>
      <c r="F79" t="s">
        <v>23</v>
      </c>
      <c r="G79" t="s">
        <v>19</v>
      </c>
      <c r="H79" t="s">
        <v>14</v>
      </c>
      <c r="I79" t="s">
        <v>258</v>
      </c>
    </row>
    <row r="80" spans="1:9" x14ac:dyDescent="0.25">
      <c r="A80" t="s">
        <v>103</v>
      </c>
      <c r="B80" t="s">
        <v>16</v>
      </c>
      <c r="C80" t="s">
        <v>17</v>
      </c>
      <c r="D80" s="1">
        <v>45165</v>
      </c>
      <c r="E80" t="s">
        <v>11</v>
      </c>
      <c r="F80" t="s">
        <v>12</v>
      </c>
      <c r="G80" t="s">
        <v>13</v>
      </c>
      <c r="H80" t="s">
        <v>14</v>
      </c>
      <c r="I80" t="s">
        <v>258</v>
      </c>
    </row>
    <row r="81" spans="1:9" x14ac:dyDescent="0.25">
      <c r="A81" t="s">
        <v>104</v>
      </c>
      <c r="B81" t="s">
        <v>9</v>
      </c>
      <c r="C81" t="s">
        <v>22</v>
      </c>
      <c r="D81" s="1">
        <v>45168</v>
      </c>
      <c r="E81" t="s">
        <v>18</v>
      </c>
      <c r="F81" t="s">
        <v>12</v>
      </c>
      <c r="G81" t="s">
        <v>33</v>
      </c>
      <c r="H81" t="s">
        <v>20</v>
      </c>
      <c r="I81" t="s">
        <v>259</v>
      </c>
    </row>
    <row r="82" spans="1:9" x14ac:dyDescent="0.25">
      <c r="A82" t="s">
        <v>105</v>
      </c>
      <c r="B82" t="s">
        <v>16</v>
      </c>
      <c r="C82" t="s">
        <v>25</v>
      </c>
      <c r="D82" s="1">
        <v>45140</v>
      </c>
      <c r="E82" t="s">
        <v>11</v>
      </c>
      <c r="F82" t="s">
        <v>23</v>
      </c>
      <c r="G82" t="s">
        <v>19</v>
      </c>
      <c r="H82" t="s">
        <v>14</v>
      </c>
      <c r="I82" t="s">
        <v>255</v>
      </c>
    </row>
    <row r="83" spans="1:9" x14ac:dyDescent="0.25">
      <c r="A83" t="s">
        <v>106</v>
      </c>
      <c r="B83" t="s">
        <v>9</v>
      </c>
      <c r="C83" t="s">
        <v>27</v>
      </c>
      <c r="D83" s="1">
        <v>45143</v>
      </c>
      <c r="E83" t="s">
        <v>18</v>
      </c>
      <c r="F83" t="s">
        <v>12</v>
      </c>
      <c r="G83" t="s">
        <v>19</v>
      </c>
      <c r="H83" t="s">
        <v>14</v>
      </c>
      <c r="I83" t="s">
        <v>255</v>
      </c>
    </row>
    <row r="84" spans="1:9" x14ac:dyDescent="0.25">
      <c r="A84" t="s">
        <v>107</v>
      </c>
      <c r="B84" t="s">
        <v>16</v>
      </c>
      <c r="C84" t="s">
        <v>29</v>
      </c>
      <c r="D84" s="1">
        <v>45146</v>
      </c>
      <c r="E84" t="s">
        <v>11</v>
      </c>
      <c r="F84" t="s">
        <v>12</v>
      </c>
      <c r="G84" t="s">
        <v>13</v>
      </c>
      <c r="H84" t="s">
        <v>14</v>
      </c>
      <c r="I84" t="s">
        <v>256</v>
      </c>
    </row>
    <row r="85" spans="1:9" x14ac:dyDescent="0.25">
      <c r="A85" t="s">
        <v>108</v>
      </c>
      <c r="B85" t="s">
        <v>9</v>
      </c>
      <c r="C85" t="s">
        <v>10</v>
      </c>
      <c r="D85" s="1">
        <v>45149</v>
      </c>
      <c r="E85" t="s">
        <v>18</v>
      </c>
      <c r="F85" t="s">
        <v>23</v>
      </c>
      <c r="G85" t="s">
        <v>19</v>
      </c>
      <c r="H85" t="s">
        <v>14</v>
      </c>
      <c r="I85" t="s">
        <v>256</v>
      </c>
    </row>
    <row r="86" spans="1:9" x14ac:dyDescent="0.25">
      <c r="A86" t="s">
        <v>109</v>
      </c>
      <c r="B86" t="s">
        <v>16</v>
      </c>
      <c r="C86" t="s">
        <v>25</v>
      </c>
      <c r="D86" s="1">
        <v>45152</v>
      </c>
      <c r="E86" t="s">
        <v>11</v>
      </c>
      <c r="F86" t="s">
        <v>12</v>
      </c>
      <c r="G86" t="s">
        <v>13</v>
      </c>
      <c r="H86" t="s">
        <v>14</v>
      </c>
      <c r="I86" t="s">
        <v>257</v>
      </c>
    </row>
    <row r="87" spans="1:9" x14ac:dyDescent="0.25">
      <c r="A87" t="s">
        <v>110</v>
      </c>
      <c r="B87" t="s">
        <v>9</v>
      </c>
      <c r="C87" t="s">
        <v>27</v>
      </c>
      <c r="D87" s="1">
        <v>45155</v>
      </c>
      <c r="E87" t="s">
        <v>18</v>
      </c>
      <c r="F87" t="s">
        <v>23</v>
      </c>
      <c r="G87" t="s">
        <v>13</v>
      </c>
      <c r="H87" t="s">
        <v>20</v>
      </c>
      <c r="I87" t="s">
        <v>257</v>
      </c>
    </row>
    <row r="88" spans="1:9" x14ac:dyDescent="0.25">
      <c r="A88" t="s">
        <v>111</v>
      </c>
      <c r="B88" t="s">
        <v>16</v>
      </c>
      <c r="C88" t="s">
        <v>29</v>
      </c>
      <c r="D88" s="1">
        <v>45158</v>
      </c>
      <c r="E88" t="s">
        <v>18</v>
      </c>
      <c r="F88" t="s">
        <v>12</v>
      </c>
      <c r="G88" t="s">
        <v>33</v>
      </c>
      <c r="H88" t="s">
        <v>20</v>
      </c>
      <c r="I88" t="s">
        <v>257</v>
      </c>
    </row>
    <row r="89" spans="1:9" x14ac:dyDescent="0.25">
      <c r="A89" t="s">
        <v>112</v>
      </c>
      <c r="B89" t="s">
        <v>9</v>
      </c>
      <c r="C89" t="s">
        <v>17</v>
      </c>
      <c r="D89" s="1">
        <v>45161</v>
      </c>
      <c r="E89" t="s">
        <v>11</v>
      </c>
      <c r="F89" t="s">
        <v>23</v>
      </c>
      <c r="G89" t="s">
        <v>19</v>
      </c>
      <c r="H89" t="s">
        <v>14</v>
      </c>
      <c r="I89" t="s">
        <v>258</v>
      </c>
    </row>
    <row r="90" spans="1:9" x14ac:dyDescent="0.25">
      <c r="A90" t="s">
        <v>113</v>
      </c>
      <c r="B90" t="s">
        <v>9</v>
      </c>
      <c r="C90" t="s">
        <v>22</v>
      </c>
      <c r="D90" s="1">
        <v>45164</v>
      </c>
      <c r="E90" t="s">
        <v>18</v>
      </c>
      <c r="F90" t="s">
        <v>12</v>
      </c>
      <c r="G90" t="s">
        <v>19</v>
      </c>
      <c r="H90" t="s">
        <v>14</v>
      </c>
      <c r="I90" t="s">
        <v>258</v>
      </c>
    </row>
    <row r="91" spans="1:9" x14ac:dyDescent="0.25">
      <c r="A91" t="s">
        <v>114</v>
      </c>
      <c r="B91" t="s">
        <v>16</v>
      </c>
      <c r="C91" t="s">
        <v>25</v>
      </c>
      <c r="D91" s="1">
        <v>45167</v>
      </c>
      <c r="E91" t="s">
        <v>11</v>
      </c>
      <c r="F91" t="s">
        <v>12</v>
      </c>
      <c r="G91" t="s">
        <v>13</v>
      </c>
      <c r="H91" t="s">
        <v>14</v>
      </c>
      <c r="I91" t="s">
        <v>259</v>
      </c>
    </row>
    <row r="92" spans="1:9" x14ac:dyDescent="0.25">
      <c r="A92" t="s">
        <v>115</v>
      </c>
      <c r="B92" t="s">
        <v>9</v>
      </c>
      <c r="C92" t="s">
        <v>29</v>
      </c>
      <c r="D92" s="1">
        <v>45142</v>
      </c>
      <c r="E92" t="s">
        <v>18</v>
      </c>
      <c r="F92" t="s">
        <v>23</v>
      </c>
      <c r="G92" t="s">
        <v>19</v>
      </c>
      <c r="H92" t="s">
        <v>20</v>
      </c>
      <c r="I92" t="s">
        <v>255</v>
      </c>
    </row>
    <row r="93" spans="1:9" x14ac:dyDescent="0.25">
      <c r="A93" t="s">
        <v>116</v>
      </c>
      <c r="B93" t="s">
        <v>9</v>
      </c>
      <c r="C93" t="s">
        <v>10</v>
      </c>
      <c r="D93" s="1">
        <v>45145</v>
      </c>
      <c r="E93" t="s">
        <v>18</v>
      </c>
      <c r="F93" t="s">
        <v>23</v>
      </c>
      <c r="G93" t="s">
        <v>19</v>
      </c>
      <c r="H93" t="s">
        <v>14</v>
      </c>
      <c r="I93" t="s">
        <v>256</v>
      </c>
    </row>
    <row r="94" spans="1:9" x14ac:dyDescent="0.25">
      <c r="A94" t="s">
        <v>117</v>
      </c>
      <c r="B94" t="s">
        <v>16</v>
      </c>
      <c r="C94" t="s">
        <v>17</v>
      </c>
      <c r="D94" s="1">
        <v>45148</v>
      </c>
      <c r="E94" t="s">
        <v>11</v>
      </c>
      <c r="F94" t="s">
        <v>12</v>
      </c>
      <c r="G94" t="s">
        <v>13</v>
      </c>
      <c r="H94" t="s">
        <v>14</v>
      </c>
      <c r="I94" t="s">
        <v>256</v>
      </c>
    </row>
    <row r="95" spans="1:9" x14ac:dyDescent="0.25">
      <c r="A95" t="s">
        <v>118</v>
      </c>
      <c r="B95" t="s">
        <v>9</v>
      </c>
      <c r="C95" t="s">
        <v>22</v>
      </c>
      <c r="D95" s="1">
        <v>45151</v>
      </c>
      <c r="E95" t="s">
        <v>18</v>
      </c>
      <c r="F95" t="s">
        <v>12</v>
      </c>
      <c r="G95" t="s">
        <v>33</v>
      </c>
      <c r="H95" t="s">
        <v>20</v>
      </c>
      <c r="I95" t="s">
        <v>256</v>
      </c>
    </row>
    <row r="96" spans="1:9" x14ac:dyDescent="0.25">
      <c r="A96" t="s">
        <v>119</v>
      </c>
      <c r="B96" t="s">
        <v>16</v>
      </c>
      <c r="C96" t="s">
        <v>25</v>
      </c>
      <c r="D96" s="1">
        <v>45154</v>
      </c>
      <c r="E96" t="s">
        <v>11</v>
      </c>
      <c r="F96" t="s">
        <v>23</v>
      </c>
      <c r="G96" t="s">
        <v>19</v>
      </c>
      <c r="H96" t="s">
        <v>14</v>
      </c>
      <c r="I96" t="s">
        <v>257</v>
      </c>
    </row>
    <row r="97" spans="1:9" x14ac:dyDescent="0.25">
      <c r="A97" t="s">
        <v>120</v>
      </c>
      <c r="B97" t="s">
        <v>9</v>
      </c>
      <c r="C97" t="s">
        <v>27</v>
      </c>
      <c r="D97" s="1">
        <v>45157</v>
      </c>
      <c r="E97" t="s">
        <v>18</v>
      </c>
      <c r="F97" t="s">
        <v>12</v>
      </c>
      <c r="G97" t="s">
        <v>19</v>
      </c>
      <c r="H97" t="s">
        <v>14</v>
      </c>
      <c r="I97" t="s">
        <v>257</v>
      </c>
    </row>
    <row r="98" spans="1:9" x14ac:dyDescent="0.25">
      <c r="A98" t="s">
        <v>121</v>
      </c>
      <c r="B98" t="s">
        <v>16</v>
      </c>
      <c r="C98" t="s">
        <v>29</v>
      </c>
      <c r="D98" s="1">
        <v>45160</v>
      </c>
      <c r="E98" t="s">
        <v>11</v>
      </c>
      <c r="F98" t="s">
        <v>12</v>
      </c>
      <c r="G98" t="s">
        <v>13</v>
      </c>
      <c r="H98" t="s">
        <v>14</v>
      </c>
      <c r="I98" t="s">
        <v>258</v>
      </c>
    </row>
    <row r="99" spans="1:9" x14ac:dyDescent="0.25">
      <c r="A99" t="s">
        <v>122</v>
      </c>
      <c r="B99" t="s">
        <v>9</v>
      </c>
      <c r="C99" t="s">
        <v>10</v>
      </c>
      <c r="D99" s="1">
        <v>45163</v>
      </c>
      <c r="E99" t="s">
        <v>18</v>
      </c>
      <c r="F99" t="s">
        <v>23</v>
      </c>
      <c r="G99" t="s">
        <v>19</v>
      </c>
      <c r="H99" t="s">
        <v>14</v>
      </c>
      <c r="I99" t="s">
        <v>258</v>
      </c>
    </row>
    <row r="100" spans="1:9" x14ac:dyDescent="0.25">
      <c r="A100" t="s">
        <v>123</v>
      </c>
      <c r="B100" t="s">
        <v>16</v>
      </c>
      <c r="C100" t="s">
        <v>25</v>
      </c>
      <c r="D100" s="1">
        <v>45166</v>
      </c>
      <c r="E100" t="s">
        <v>11</v>
      </c>
      <c r="F100" t="s">
        <v>12</v>
      </c>
      <c r="G100" t="s">
        <v>13</v>
      </c>
      <c r="H100" t="s">
        <v>14</v>
      </c>
      <c r="I100" t="s">
        <v>259</v>
      </c>
    </row>
    <row r="101" spans="1:9" x14ac:dyDescent="0.25">
      <c r="A101" t="s">
        <v>124</v>
      </c>
      <c r="B101" t="s">
        <v>9</v>
      </c>
      <c r="C101" t="s">
        <v>27</v>
      </c>
      <c r="D101" s="1">
        <v>45139</v>
      </c>
      <c r="E101" t="s">
        <v>18</v>
      </c>
      <c r="F101" t="s">
        <v>23</v>
      </c>
      <c r="G101" t="s">
        <v>13</v>
      </c>
      <c r="H101" t="s">
        <v>20</v>
      </c>
      <c r="I101" t="s">
        <v>255</v>
      </c>
    </row>
    <row r="102" spans="1:9" x14ac:dyDescent="0.25">
      <c r="A102" t="s">
        <v>125</v>
      </c>
      <c r="B102" t="s">
        <v>16</v>
      </c>
      <c r="C102" t="s">
        <v>29</v>
      </c>
      <c r="D102" s="1">
        <v>45141</v>
      </c>
      <c r="E102" t="s">
        <v>11</v>
      </c>
      <c r="F102" t="s">
        <v>12</v>
      </c>
      <c r="G102" t="s">
        <v>13</v>
      </c>
      <c r="H102" t="s">
        <v>14</v>
      </c>
      <c r="I102" t="s">
        <v>255</v>
      </c>
    </row>
    <row r="103" spans="1:9" x14ac:dyDescent="0.25">
      <c r="A103" t="s">
        <v>126</v>
      </c>
      <c r="B103" t="s">
        <v>9</v>
      </c>
      <c r="C103" t="s">
        <v>10</v>
      </c>
      <c r="D103" s="1">
        <v>45144</v>
      </c>
      <c r="E103" t="s">
        <v>18</v>
      </c>
      <c r="F103" t="s">
        <v>23</v>
      </c>
      <c r="G103" t="s">
        <v>19</v>
      </c>
      <c r="H103" t="s">
        <v>20</v>
      </c>
      <c r="I103" t="s">
        <v>255</v>
      </c>
    </row>
    <row r="104" spans="1:9" x14ac:dyDescent="0.25">
      <c r="A104" t="s">
        <v>127</v>
      </c>
      <c r="B104" t="s">
        <v>16</v>
      </c>
      <c r="C104" t="s">
        <v>17</v>
      </c>
      <c r="D104" s="1">
        <v>45147</v>
      </c>
      <c r="E104" t="s">
        <v>18</v>
      </c>
      <c r="F104" t="s">
        <v>12</v>
      </c>
      <c r="G104" t="s">
        <v>13</v>
      </c>
      <c r="H104" t="s">
        <v>14</v>
      </c>
      <c r="I104" t="s">
        <v>256</v>
      </c>
    </row>
    <row r="105" spans="1:9" x14ac:dyDescent="0.25">
      <c r="A105" t="s">
        <v>128</v>
      </c>
      <c r="B105" t="s">
        <v>9</v>
      </c>
      <c r="C105" t="s">
        <v>22</v>
      </c>
      <c r="D105" s="1">
        <v>45150</v>
      </c>
      <c r="E105" t="s">
        <v>11</v>
      </c>
      <c r="F105" t="s">
        <v>23</v>
      </c>
      <c r="G105" t="s">
        <v>19</v>
      </c>
      <c r="H105" t="s">
        <v>14</v>
      </c>
      <c r="I105" t="s">
        <v>256</v>
      </c>
    </row>
    <row r="106" spans="1:9" x14ac:dyDescent="0.25">
      <c r="A106" t="s">
        <v>129</v>
      </c>
      <c r="B106" t="s">
        <v>9</v>
      </c>
      <c r="C106" t="s">
        <v>25</v>
      </c>
      <c r="D106" s="1">
        <v>45153</v>
      </c>
      <c r="E106" t="s">
        <v>18</v>
      </c>
      <c r="F106" t="s">
        <v>23</v>
      </c>
      <c r="G106" t="s">
        <v>13</v>
      </c>
      <c r="H106" t="s">
        <v>14</v>
      </c>
      <c r="I106" t="s">
        <v>257</v>
      </c>
    </row>
    <row r="107" spans="1:9" x14ac:dyDescent="0.25">
      <c r="A107" t="s">
        <v>130</v>
      </c>
      <c r="B107" t="s">
        <v>16</v>
      </c>
      <c r="C107" t="s">
        <v>27</v>
      </c>
      <c r="D107" s="1">
        <v>45156</v>
      </c>
      <c r="E107" t="s">
        <v>11</v>
      </c>
      <c r="F107" t="s">
        <v>12</v>
      </c>
      <c r="G107" t="s">
        <v>13</v>
      </c>
      <c r="H107" t="s">
        <v>14</v>
      </c>
      <c r="I107" t="s">
        <v>257</v>
      </c>
    </row>
    <row r="108" spans="1:9" x14ac:dyDescent="0.25">
      <c r="A108" t="s">
        <v>131</v>
      </c>
      <c r="B108" t="s">
        <v>9</v>
      </c>
      <c r="C108" t="s">
        <v>29</v>
      </c>
      <c r="D108" s="1">
        <v>45159</v>
      </c>
      <c r="E108" t="s">
        <v>18</v>
      </c>
      <c r="F108" t="s">
        <v>12</v>
      </c>
      <c r="G108" t="s">
        <v>19</v>
      </c>
      <c r="H108" t="s">
        <v>20</v>
      </c>
      <c r="I108" t="s">
        <v>258</v>
      </c>
    </row>
    <row r="109" spans="1:9" x14ac:dyDescent="0.25">
      <c r="A109" t="s">
        <v>132</v>
      </c>
      <c r="B109" t="s">
        <v>9</v>
      </c>
      <c r="C109" t="s">
        <v>10</v>
      </c>
      <c r="D109" s="1">
        <v>45162</v>
      </c>
      <c r="E109" t="s">
        <v>18</v>
      </c>
      <c r="F109" t="s">
        <v>23</v>
      </c>
      <c r="G109" t="s">
        <v>19</v>
      </c>
      <c r="H109" t="s">
        <v>14</v>
      </c>
      <c r="I109" t="s">
        <v>258</v>
      </c>
    </row>
    <row r="110" spans="1:9" x14ac:dyDescent="0.25">
      <c r="A110" t="s">
        <v>133</v>
      </c>
      <c r="B110" t="s">
        <v>16</v>
      </c>
      <c r="C110" t="s">
        <v>17</v>
      </c>
      <c r="D110" s="1">
        <v>45165</v>
      </c>
      <c r="E110" t="s">
        <v>11</v>
      </c>
      <c r="F110" t="s">
        <v>12</v>
      </c>
      <c r="G110" t="s">
        <v>13</v>
      </c>
      <c r="H110" t="s">
        <v>14</v>
      </c>
      <c r="I110" t="s">
        <v>258</v>
      </c>
    </row>
    <row r="111" spans="1:9" x14ac:dyDescent="0.25">
      <c r="A111" t="s">
        <v>134</v>
      </c>
      <c r="B111" t="s">
        <v>9</v>
      </c>
      <c r="C111" t="s">
        <v>22</v>
      </c>
      <c r="D111" s="1">
        <v>45168</v>
      </c>
      <c r="E111" t="s">
        <v>18</v>
      </c>
      <c r="F111" t="s">
        <v>12</v>
      </c>
      <c r="G111" t="s">
        <v>33</v>
      </c>
      <c r="H111" t="s">
        <v>20</v>
      </c>
      <c r="I111" t="s">
        <v>259</v>
      </c>
    </row>
    <row r="112" spans="1:9" x14ac:dyDescent="0.25">
      <c r="A112" t="s">
        <v>135</v>
      </c>
      <c r="B112" t="s">
        <v>16</v>
      </c>
      <c r="C112" t="s">
        <v>25</v>
      </c>
      <c r="D112" s="1">
        <v>45140</v>
      </c>
      <c r="E112" t="s">
        <v>11</v>
      </c>
      <c r="F112" t="s">
        <v>23</v>
      </c>
      <c r="G112" t="s">
        <v>19</v>
      </c>
      <c r="H112" t="s">
        <v>14</v>
      </c>
      <c r="I112" t="s">
        <v>255</v>
      </c>
    </row>
    <row r="113" spans="1:9" x14ac:dyDescent="0.25">
      <c r="A113" t="s">
        <v>136</v>
      </c>
      <c r="B113" t="s">
        <v>9</v>
      </c>
      <c r="C113" t="s">
        <v>27</v>
      </c>
      <c r="D113" s="1">
        <v>45143</v>
      </c>
      <c r="E113" t="s">
        <v>18</v>
      </c>
      <c r="F113" t="s">
        <v>12</v>
      </c>
      <c r="G113" t="s">
        <v>19</v>
      </c>
      <c r="H113" t="s">
        <v>14</v>
      </c>
      <c r="I113" t="s">
        <v>255</v>
      </c>
    </row>
    <row r="114" spans="1:9" x14ac:dyDescent="0.25">
      <c r="A114" t="s">
        <v>137</v>
      </c>
      <c r="B114" t="s">
        <v>16</v>
      </c>
      <c r="C114" t="s">
        <v>29</v>
      </c>
      <c r="D114" s="1">
        <v>45146</v>
      </c>
      <c r="E114" t="s">
        <v>11</v>
      </c>
      <c r="F114" t="s">
        <v>12</v>
      </c>
      <c r="G114" t="s">
        <v>13</v>
      </c>
      <c r="H114" t="s">
        <v>14</v>
      </c>
      <c r="I114" t="s">
        <v>256</v>
      </c>
    </row>
    <row r="115" spans="1:9" x14ac:dyDescent="0.25">
      <c r="A115" t="s">
        <v>138</v>
      </c>
      <c r="B115" t="s">
        <v>9</v>
      </c>
      <c r="C115" t="s">
        <v>10</v>
      </c>
      <c r="D115" s="1">
        <v>45149</v>
      </c>
      <c r="E115" t="s">
        <v>18</v>
      </c>
      <c r="F115" t="s">
        <v>23</v>
      </c>
      <c r="G115" t="s">
        <v>19</v>
      </c>
      <c r="H115" t="s">
        <v>14</v>
      </c>
      <c r="I115" t="s">
        <v>256</v>
      </c>
    </row>
    <row r="116" spans="1:9" x14ac:dyDescent="0.25">
      <c r="A116" t="s">
        <v>139</v>
      </c>
      <c r="B116" t="s">
        <v>16</v>
      </c>
      <c r="C116" t="s">
        <v>25</v>
      </c>
      <c r="D116" s="1">
        <v>45152</v>
      </c>
      <c r="E116" t="s">
        <v>11</v>
      </c>
      <c r="F116" t="s">
        <v>12</v>
      </c>
      <c r="G116" t="s">
        <v>13</v>
      </c>
      <c r="H116" t="s">
        <v>14</v>
      </c>
      <c r="I116" t="s">
        <v>257</v>
      </c>
    </row>
    <row r="117" spans="1:9" x14ac:dyDescent="0.25">
      <c r="A117" t="s">
        <v>140</v>
      </c>
      <c r="B117" t="s">
        <v>9</v>
      </c>
      <c r="C117" t="s">
        <v>27</v>
      </c>
      <c r="D117" s="1">
        <v>45155</v>
      </c>
      <c r="E117" t="s">
        <v>18</v>
      </c>
      <c r="F117" t="s">
        <v>23</v>
      </c>
      <c r="G117" t="s">
        <v>13</v>
      </c>
      <c r="H117" t="s">
        <v>20</v>
      </c>
      <c r="I117" t="s">
        <v>257</v>
      </c>
    </row>
    <row r="118" spans="1:9" x14ac:dyDescent="0.25">
      <c r="A118" t="s">
        <v>141</v>
      </c>
      <c r="B118" t="s">
        <v>16</v>
      </c>
      <c r="C118" t="s">
        <v>29</v>
      </c>
      <c r="D118" s="1">
        <v>45158</v>
      </c>
      <c r="E118" t="s">
        <v>18</v>
      </c>
      <c r="F118" t="s">
        <v>12</v>
      </c>
      <c r="G118" t="s">
        <v>33</v>
      </c>
      <c r="H118" t="s">
        <v>20</v>
      </c>
      <c r="I118" t="s">
        <v>257</v>
      </c>
    </row>
    <row r="119" spans="1:9" x14ac:dyDescent="0.25">
      <c r="A119" t="s">
        <v>142</v>
      </c>
      <c r="B119" t="s">
        <v>9</v>
      </c>
      <c r="C119" t="s">
        <v>17</v>
      </c>
      <c r="D119" s="1">
        <v>45161</v>
      </c>
      <c r="E119" t="s">
        <v>11</v>
      </c>
      <c r="F119" t="s">
        <v>23</v>
      </c>
      <c r="G119" t="s">
        <v>19</v>
      </c>
      <c r="H119" t="s">
        <v>14</v>
      </c>
      <c r="I119" t="s">
        <v>258</v>
      </c>
    </row>
    <row r="120" spans="1:9" x14ac:dyDescent="0.25">
      <c r="A120" t="s">
        <v>143</v>
      </c>
      <c r="B120" t="s">
        <v>9</v>
      </c>
      <c r="C120" t="s">
        <v>22</v>
      </c>
      <c r="D120" s="1">
        <v>45164</v>
      </c>
      <c r="E120" t="s">
        <v>18</v>
      </c>
      <c r="F120" t="s">
        <v>12</v>
      </c>
      <c r="G120" t="s">
        <v>19</v>
      </c>
      <c r="H120" t="s">
        <v>14</v>
      </c>
      <c r="I120" t="s">
        <v>258</v>
      </c>
    </row>
    <row r="121" spans="1:9" x14ac:dyDescent="0.25">
      <c r="A121" t="s">
        <v>144</v>
      </c>
      <c r="B121" t="s">
        <v>16</v>
      </c>
      <c r="C121" t="s">
        <v>25</v>
      </c>
      <c r="D121" s="1">
        <v>45167</v>
      </c>
      <c r="E121" t="s">
        <v>11</v>
      </c>
      <c r="F121" t="s">
        <v>12</v>
      </c>
      <c r="G121" t="s">
        <v>13</v>
      </c>
      <c r="H121" t="s">
        <v>14</v>
      </c>
      <c r="I121" t="s">
        <v>259</v>
      </c>
    </row>
    <row r="122" spans="1:9" x14ac:dyDescent="0.25">
      <c r="A122" t="s">
        <v>145</v>
      </c>
      <c r="B122" t="s">
        <v>16</v>
      </c>
      <c r="C122" t="s">
        <v>29</v>
      </c>
      <c r="D122" s="1">
        <v>45169</v>
      </c>
      <c r="E122" t="s">
        <v>11</v>
      </c>
      <c r="F122" t="s">
        <v>23</v>
      </c>
      <c r="G122" t="s">
        <v>19</v>
      </c>
      <c r="H122" t="s">
        <v>14</v>
      </c>
      <c r="I122" t="s">
        <v>259</v>
      </c>
    </row>
    <row r="123" spans="1:9" x14ac:dyDescent="0.25">
      <c r="A123" t="s">
        <v>146</v>
      </c>
      <c r="B123" t="s">
        <v>9</v>
      </c>
      <c r="C123" t="s">
        <v>10</v>
      </c>
      <c r="D123" s="1">
        <v>45169</v>
      </c>
      <c r="E123" t="s">
        <v>18</v>
      </c>
      <c r="F123" t="s">
        <v>12</v>
      </c>
      <c r="G123" t="s">
        <v>33</v>
      </c>
      <c r="H123" t="s">
        <v>20</v>
      </c>
      <c r="I123" t="s">
        <v>259</v>
      </c>
    </row>
    <row r="124" spans="1:9" x14ac:dyDescent="0.25">
      <c r="A124" t="s">
        <v>147</v>
      </c>
      <c r="B124" t="s">
        <v>16</v>
      </c>
      <c r="C124" t="s">
        <v>17</v>
      </c>
      <c r="D124" s="1">
        <v>45169</v>
      </c>
      <c r="E124" t="s">
        <v>18</v>
      </c>
      <c r="F124" t="s">
        <v>23</v>
      </c>
      <c r="G124" t="s">
        <v>19</v>
      </c>
      <c r="H124" t="s">
        <v>14</v>
      </c>
      <c r="I124" t="s">
        <v>259</v>
      </c>
    </row>
    <row r="125" spans="1:9" x14ac:dyDescent="0.25">
      <c r="A125" t="s">
        <v>148</v>
      </c>
      <c r="B125" t="s">
        <v>9</v>
      </c>
      <c r="C125" t="s">
        <v>22</v>
      </c>
      <c r="D125" s="1">
        <v>45169</v>
      </c>
      <c r="E125" t="s">
        <v>11</v>
      </c>
      <c r="F125" t="s">
        <v>12</v>
      </c>
      <c r="G125" t="s">
        <v>13</v>
      </c>
      <c r="H125" t="s">
        <v>14</v>
      </c>
      <c r="I125" t="s">
        <v>259</v>
      </c>
    </row>
    <row r="126" spans="1:9" x14ac:dyDescent="0.25">
      <c r="A126" t="s">
        <v>149</v>
      </c>
      <c r="B126" t="s">
        <v>9</v>
      </c>
      <c r="C126" t="s">
        <v>25</v>
      </c>
      <c r="D126" s="1">
        <v>45169</v>
      </c>
      <c r="E126" t="s">
        <v>18</v>
      </c>
      <c r="F126" t="s">
        <v>23</v>
      </c>
      <c r="G126" t="s">
        <v>13</v>
      </c>
      <c r="H126" t="s">
        <v>14</v>
      </c>
      <c r="I126" t="s">
        <v>259</v>
      </c>
    </row>
    <row r="127" spans="1:9" x14ac:dyDescent="0.25">
      <c r="A127" t="s">
        <v>150</v>
      </c>
      <c r="B127" t="s">
        <v>16</v>
      </c>
      <c r="C127" t="s">
        <v>27</v>
      </c>
      <c r="D127" s="1">
        <v>45169</v>
      </c>
      <c r="E127" t="s">
        <v>11</v>
      </c>
      <c r="F127" t="s">
        <v>12</v>
      </c>
      <c r="G127" t="s">
        <v>13</v>
      </c>
      <c r="H127" t="s">
        <v>14</v>
      </c>
      <c r="I127" t="s">
        <v>259</v>
      </c>
    </row>
    <row r="128" spans="1:9" x14ac:dyDescent="0.25">
      <c r="A128" t="s">
        <v>151</v>
      </c>
      <c r="B128" t="s">
        <v>9</v>
      </c>
      <c r="C128" t="s">
        <v>29</v>
      </c>
      <c r="D128" s="1">
        <v>45169</v>
      </c>
      <c r="E128" t="s">
        <v>18</v>
      </c>
      <c r="F128" t="s">
        <v>12</v>
      </c>
      <c r="G128" t="s">
        <v>19</v>
      </c>
      <c r="H128" t="s">
        <v>20</v>
      </c>
      <c r="I128" t="s">
        <v>259</v>
      </c>
    </row>
    <row r="129" spans="1:9" x14ac:dyDescent="0.25">
      <c r="A129" t="s">
        <v>152</v>
      </c>
      <c r="B129" t="s">
        <v>9</v>
      </c>
      <c r="C129" t="s">
        <v>10</v>
      </c>
      <c r="D129" s="1">
        <v>45169</v>
      </c>
      <c r="E129" t="s">
        <v>18</v>
      </c>
      <c r="F129" t="s">
        <v>23</v>
      </c>
      <c r="G129" t="s">
        <v>19</v>
      </c>
      <c r="H129" t="s">
        <v>14</v>
      </c>
      <c r="I129" t="s">
        <v>259</v>
      </c>
    </row>
    <row r="130" spans="1:9" x14ac:dyDescent="0.25">
      <c r="A130" t="s">
        <v>153</v>
      </c>
      <c r="B130" t="s">
        <v>16</v>
      </c>
      <c r="C130" t="s">
        <v>17</v>
      </c>
      <c r="D130" s="1">
        <v>45169</v>
      </c>
      <c r="E130" t="s">
        <v>11</v>
      </c>
      <c r="F130" t="s">
        <v>12</v>
      </c>
      <c r="G130" t="s">
        <v>13</v>
      </c>
      <c r="H130" t="s">
        <v>14</v>
      </c>
      <c r="I130" t="s">
        <v>259</v>
      </c>
    </row>
    <row r="131" spans="1:9" x14ac:dyDescent="0.25">
      <c r="A131" t="s">
        <v>154</v>
      </c>
      <c r="B131" t="s">
        <v>9</v>
      </c>
      <c r="C131" t="s">
        <v>22</v>
      </c>
      <c r="D131" s="1">
        <v>45169</v>
      </c>
      <c r="E131" t="s">
        <v>18</v>
      </c>
      <c r="F131" t="s">
        <v>12</v>
      </c>
      <c r="G131" t="s">
        <v>33</v>
      </c>
      <c r="H131" t="s">
        <v>20</v>
      </c>
      <c r="I131" t="s">
        <v>259</v>
      </c>
    </row>
    <row r="132" spans="1:9" x14ac:dyDescent="0.25">
      <c r="A132" t="s">
        <v>155</v>
      </c>
      <c r="B132" t="s">
        <v>16</v>
      </c>
      <c r="C132" t="s">
        <v>25</v>
      </c>
      <c r="D132" s="1">
        <v>45169</v>
      </c>
      <c r="E132" t="s">
        <v>11</v>
      </c>
      <c r="F132" t="s">
        <v>23</v>
      </c>
      <c r="G132" t="s">
        <v>19</v>
      </c>
      <c r="H132" t="s">
        <v>14</v>
      </c>
      <c r="I132" t="s">
        <v>259</v>
      </c>
    </row>
    <row r="133" spans="1:9" x14ac:dyDescent="0.25">
      <c r="A133" t="s">
        <v>156</v>
      </c>
      <c r="B133" t="s">
        <v>9</v>
      </c>
      <c r="C133" t="s">
        <v>27</v>
      </c>
      <c r="D133" s="1">
        <v>45169</v>
      </c>
      <c r="E133" t="s">
        <v>18</v>
      </c>
      <c r="F133" t="s">
        <v>12</v>
      </c>
      <c r="G133" t="s">
        <v>19</v>
      </c>
      <c r="H133" t="s">
        <v>14</v>
      </c>
      <c r="I133" t="s">
        <v>259</v>
      </c>
    </row>
    <row r="134" spans="1:9" x14ac:dyDescent="0.25">
      <c r="A134" t="s">
        <v>157</v>
      </c>
      <c r="B134" t="s">
        <v>16</v>
      </c>
      <c r="C134" t="s">
        <v>29</v>
      </c>
      <c r="D134" s="1">
        <v>45169</v>
      </c>
      <c r="E134" t="s">
        <v>11</v>
      </c>
      <c r="F134" t="s">
        <v>12</v>
      </c>
      <c r="G134" t="s">
        <v>13</v>
      </c>
      <c r="H134" t="s">
        <v>14</v>
      </c>
      <c r="I134" t="s">
        <v>259</v>
      </c>
    </row>
    <row r="135" spans="1:9" x14ac:dyDescent="0.25">
      <c r="A135" t="s">
        <v>158</v>
      </c>
      <c r="B135" t="s">
        <v>9</v>
      </c>
      <c r="C135" t="s">
        <v>10</v>
      </c>
      <c r="D135" s="1">
        <v>45169</v>
      </c>
      <c r="E135" t="s">
        <v>18</v>
      </c>
      <c r="F135" t="s">
        <v>23</v>
      </c>
      <c r="G135" t="s">
        <v>19</v>
      </c>
      <c r="H135" t="s">
        <v>14</v>
      </c>
      <c r="I135" t="s">
        <v>259</v>
      </c>
    </row>
    <row r="136" spans="1:9" x14ac:dyDescent="0.25">
      <c r="A136" t="s">
        <v>159</v>
      </c>
      <c r="B136" t="s">
        <v>16</v>
      </c>
      <c r="C136" t="s">
        <v>25</v>
      </c>
      <c r="D136" s="1">
        <v>45169</v>
      </c>
      <c r="E136" t="s">
        <v>11</v>
      </c>
      <c r="F136" t="s">
        <v>12</v>
      </c>
      <c r="G136" t="s">
        <v>13</v>
      </c>
      <c r="H136" t="s">
        <v>14</v>
      </c>
      <c r="I136" t="s">
        <v>259</v>
      </c>
    </row>
    <row r="137" spans="1:9" x14ac:dyDescent="0.25">
      <c r="A137" t="s">
        <v>160</v>
      </c>
      <c r="B137" t="s">
        <v>9</v>
      </c>
      <c r="C137" t="s">
        <v>27</v>
      </c>
      <c r="D137" s="1">
        <v>45169</v>
      </c>
      <c r="E137" t="s">
        <v>18</v>
      </c>
      <c r="F137" t="s">
        <v>23</v>
      </c>
      <c r="G137" t="s">
        <v>13</v>
      </c>
      <c r="H137" t="s">
        <v>20</v>
      </c>
      <c r="I137" t="s">
        <v>259</v>
      </c>
    </row>
    <row r="138" spans="1:9" x14ac:dyDescent="0.25">
      <c r="A138" t="s">
        <v>161</v>
      </c>
      <c r="B138" t="s">
        <v>16</v>
      </c>
      <c r="C138" t="s">
        <v>29</v>
      </c>
      <c r="D138" s="1">
        <v>45169</v>
      </c>
      <c r="E138" t="s">
        <v>18</v>
      </c>
      <c r="F138" t="s">
        <v>12</v>
      </c>
      <c r="G138" t="s">
        <v>33</v>
      </c>
      <c r="H138" t="s">
        <v>20</v>
      </c>
      <c r="I138" t="s">
        <v>259</v>
      </c>
    </row>
    <row r="139" spans="1:9" x14ac:dyDescent="0.25">
      <c r="A139" t="s">
        <v>162</v>
      </c>
      <c r="B139" t="s">
        <v>9</v>
      </c>
      <c r="C139" t="s">
        <v>17</v>
      </c>
      <c r="D139" s="1">
        <v>45169</v>
      </c>
      <c r="E139" t="s">
        <v>11</v>
      </c>
      <c r="F139" t="s">
        <v>23</v>
      </c>
      <c r="G139" t="s">
        <v>19</v>
      </c>
      <c r="H139" t="s">
        <v>14</v>
      </c>
      <c r="I139" t="s">
        <v>259</v>
      </c>
    </row>
    <row r="140" spans="1:9" x14ac:dyDescent="0.25">
      <c r="A140" t="s">
        <v>163</v>
      </c>
      <c r="B140" t="s">
        <v>9</v>
      </c>
      <c r="C140" t="s">
        <v>22</v>
      </c>
      <c r="D140" s="1">
        <v>45169</v>
      </c>
      <c r="E140" t="s">
        <v>18</v>
      </c>
      <c r="F140" t="s">
        <v>12</v>
      </c>
      <c r="G140" t="s">
        <v>19</v>
      </c>
      <c r="H140" t="s">
        <v>14</v>
      </c>
      <c r="I140" t="s">
        <v>259</v>
      </c>
    </row>
    <row r="141" spans="1:9" x14ac:dyDescent="0.25">
      <c r="A141" t="s">
        <v>164</v>
      </c>
      <c r="B141" t="s">
        <v>16</v>
      </c>
      <c r="C141" t="s">
        <v>25</v>
      </c>
      <c r="D141" s="1">
        <v>45169</v>
      </c>
      <c r="E141" t="s">
        <v>11</v>
      </c>
      <c r="F141" t="s">
        <v>12</v>
      </c>
      <c r="G141" t="s">
        <v>13</v>
      </c>
      <c r="H141" t="s">
        <v>14</v>
      </c>
      <c r="I141" t="s">
        <v>259</v>
      </c>
    </row>
    <row r="142" spans="1:9" x14ac:dyDescent="0.25">
      <c r="A142" t="s">
        <v>165</v>
      </c>
      <c r="B142" t="s">
        <v>16</v>
      </c>
      <c r="C142" t="s">
        <v>17</v>
      </c>
      <c r="D142" s="1">
        <v>45148</v>
      </c>
      <c r="E142" t="s">
        <v>11</v>
      </c>
      <c r="F142" t="s">
        <v>23</v>
      </c>
      <c r="G142" t="s">
        <v>19</v>
      </c>
      <c r="H142" t="s">
        <v>14</v>
      </c>
      <c r="I142" t="s">
        <v>256</v>
      </c>
    </row>
    <row r="143" spans="1:9" x14ac:dyDescent="0.25">
      <c r="A143" t="s">
        <v>166</v>
      </c>
      <c r="B143" t="s">
        <v>9</v>
      </c>
      <c r="C143" t="s">
        <v>22</v>
      </c>
      <c r="D143" s="1">
        <v>45153</v>
      </c>
      <c r="E143" t="s">
        <v>18</v>
      </c>
      <c r="F143" t="s">
        <v>12</v>
      </c>
      <c r="G143" t="s">
        <v>33</v>
      </c>
      <c r="H143" t="s">
        <v>20</v>
      </c>
      <c r="I143" t="s">
        <v>257</v>
      </c>
    </row>
    <row r="144" spans="1:9" x14ac:dyDescent="0.25">
      <c r="A144" t="s">
        <v>167</v>
      </c>
      <c r="B144" t="s">
        <v>16</v>
      </c>
      <c r="C144" t="s">
        <v>25</v>
      </c>
      <c r="D144" s="1">
        <v>45158</v>
      </c>
      <c r="E144" t="s">
        <v>18</v>
      </c>
      <c r="F144" t="s">
        <v>23</v>
      </c>
      <c r="G144" t="s">
        <v>19</v>
      </c>
      <c r="H144" t="s">
        <v>14</v>
      </c>
      <c r="I144" t="s">
        <v>257</v>
      </c>
    </row>
    <row r="145" spans="1:9" x14ac:dyDescent="0.25">
      <c r="A145" t="s">
        <v>168</v>
      </c>
      <c r="B145" t="s">
        <v>9</v>
      </c>
      <c r="C145" t="s">
        <v>27</v>
      </c>
      <c r="D145" s="1">
        <v>45163</v>
      </c>
      <c r="E145" t="s">
        <v>11</v>
      </c>
      <c r="F145" t="s">
        <v>12</v>
      </c>
      <c r="G145" t="s">
        <v>13</v>
      </c>
      <c r="H145" t="s">
        <v>14</v>
      </c>
      <c r="I145" t="s">
        <v>258</v>
      </c>
    </row>
    <row r="146" spans="1:9" x14ac:dyDescent="0.25">
      <c r="A146" t="s">
        <v>169</v>
      </c>
      <c r="B146" t="s">
        <v>9</v>
      </c>
      <c r="C146" t="s">
        <v>29</v>
      </c>
      <c r="D146" s="1">
        <v>45169</v>
      </c>
      <c r="E146" t="s">
        <v>11</v>
      </c>
      <c r="F146" t="s">
        <v>23</v>
      </c>
      <c r="G146" t="s">
        <v>19</v>
      </c>
      <c r="H146" t="s">
        <v>14</v>
      </c>
      <c r="I146" t="s">
        <v>259</v>
      </c>
    </row>
    <row r="147" spans="1:9" x14ac:dyDescent="0.25">
      <c r="A147" t="s">
        <v>170</v>
      </c>
      <c r="B147" t="s">
        <v>9</v>
      </c>
      <c r="C147" t="s">
        <v>10</v>
      </c>
      <c r="D147" s="1">
        <v>45146</v>
      </c>
      <c r="E147" t="s">
        <v>18</v>
      </c>
      <c r="F147" t="s">
        <v>23</v>
      </c>
      <c r="G147" t="s">
        <v>19</v>
      </c>
      <c r="H147" t="s">
        <v>14</v>
      </c>
      <c r="I147" t="s">
        <v>256</v>
      </c>
    </row>
    <row r="148" spans="1:9" x14ac:dyDescent="0.25">
      <c r="A148" t="s">
        <v>171</v>
      </c>
      <c r="B148" t="s">
        <v>16</v>
      </c>
      <c r="C148" t="s">
        <v>25</v>
      </c>
      <c r="D148" s="1">
        <v>45151</v>
      </c>
      <c r="E148" t="s">
        <v>18</v>
      </c>
      <c r="F148" t="s">
        <v>12</v>
      </c>
      <c r="G148" t="s">
        <v>13</v>
      </c>
      <c r="H148" t="s">
        <v>14</v>
      </c>
      <c r="I148" t="s">
        <v>256</v>
      </c>
    </row>
    <row r="149" spans="1:9" x14ac:dyDescent="0.25">
      <c r="A149" t="s">
        <v>172</v>
      </c>
      <c r="B149" t="s">
        <v>9</v>
      </c>
      <c r="C149" t="s">
        <v>27</v>
      </c>
      <c r="D149" s="1">
        <v>45156</v>
      </c>
      <c r="E149" t="s">
        <v>11</v>
      </c>
      <c r="F149" t="s">
        <v>12</v>
      </c>
      <c r="G149" t="s">
        <v>13</v>
      </c>
      <c r="H149" t="s">
        <v>20</v>
      </c>
      <c r="I149" t="s">
        <v>257</v>
      </c>
    </row>
    <row r="150" spans="1:9" x14ac:dyDescent="0.25">
      <c r="A150" t="s">
        <v>173</v>
      </c>
      <c r="B150" t="s">
        <v>16</v>
      </c>
      <c r="C150" t="s">
        <v>29</v>
      </c>
      <c r="D150" s="1">
        <v>45161</v>
      </c>
      <c r="E150" t="s">
        <v>18</v>
      </c>
      <c r="F150" t="s">
        <v>23</v>
      </c>
      <c r="G150" t="s">
        <v>19</v>
      </c>
      <c r="H150" t="s">
        <v>14</v>
      </c>
      <c r="I150" t="s">
        <v>258</v>
      </c>
    </row>
    <row r="151" spans="1:9" x14ac:dyDescent="0.25">
      <c r="A151" t="s">
        <v>174</v>
      </c>
      <c r="B151" t="s">
        <v>9</v>
      </c>
      <c r="C151" t="s">
        <v>10</v>
      </c>
      <c r="D151" s="1">
        <v>45166</v>
      </c>
      <c r="E151" t="s">
        <v>11</v>
      </c>
      <c r="F151" t="s">
        <v>12</v>
      </c>
      <c r="G151" t="s">
        <v>13</v>
      </c>
      <c r="H151" t="s">
        <v>14</v>
      </c>
      <c r="I151" t="s">
        <v>259</v>
      </c>
    </row>
    <row r="152" spans="1:9" x14ac:dyDescent="0.25">
      <c r="A152" t="s">
        <v>175</v>
      </c>
      <c r="B152" t="s">
        <v>9</v>
      </c>
      <c r="C152" t="s">
        <v>22</v>
      </c>
      <c r="D152" s="1">
        <v>45143</v>
      </c>
      <c r="E152" t="s">
        <v>18</v>
      </c>
      <c r="F152" t="s">
        <v>12</v>
      </c>
      <c r="G152" t="s">
        <v>19</v>
      </c>
      <c r="H152" t="s">
        <v>14</v>
      </c>
      <c r="I152" t="s">
        <v>255</v>
      </c>
    </row>
    <row r="153" spans="1:9" x14ac:dyDescent="0.25">
      <c r="A153" t="s">
        <v>176</v>
      </c>
      <c r="B153" t="s">
        <v>16</v>
      </c>
      <c r="C153" t="s">
        <v>25</v>
      </c>
      <c r="D153" s="1">
        <v>45148</v>
      </c>
      <c r="E153" t="s">
        <v>11</v>
      </c>
      <c r="F153" t="s">
        <v>23</v>
      </c>
      <c r="G153" t="s">
        <v>19</v>
      </c>
      <c r="H153" t="s">
        <v>14</v>
      </c>
      <c r="I153" t="s">
        <v>256</v>
      </c>
    </row>
    <row r="154" spans="1:9" x14ac:dyDescent="0.25">
      <c r="A154" t="s">
        <v>177</v>
      </c>
      <c r="B154" t="s">
        <v>9</v>
      </c>
      <c r="C154" t="s">
        <v>27</v>
      </c>
      <c r="D154" s="1">
        <v>45153</v>
      </c>
      <c r="E154" t="s">
        <v>18</v>
      </c>
      <c r="F154" t="s">
        <v>23</v>
      </c>
      <c r="G154" t="s">
        <v>13</v>
      </c>
      <c r="H154" t="s">
        <v>14</v>
      </c>
      <c r="I154" t="s">
        <v>257</v>
      </c>
    </row>
    <row r="155" spans="1:9" x14ac:dyDescent="0.25">
      <c r="A155" t="s">
        <v>178</v>
      </c>
      <c r="B155" t="s">
        <v>16</v>
      </c>
      <c r="C155" t="s">
        <v>29</v>
      </c>
      <c r="D155" s="1">
        <v>45158</v>
      </c>
      <c r="E155" t="s">
        <v>11</v>
      </c>
      <c r="F155" t="s">
        <v>12</v>
      </c>
      <c r="G155" t="s">
        <v>13</v>
      </c>
      <c r="H155" t="s">
        <v>14</v>
      </c>
      <c r="I155" t="s">
        <v>257</v>
      </c>
    </row>
    <row r="156" spans="1:9" x14ac:dyDescent="0.25">
      <c r="A156" t="s">
        <v>179</v>
      </c>
      <c r="B156" t="s">
        <v>9</v>
      </c>
      <c r="C156" t="s">
        <v>10</v>
      </c>
      <c r="D156" s="1">
        <v>45163</v>
      </c>
      <c r="E156" t="s">
        <v>18</v>
      </c>
      <c r="F156" t="s">
        <v>12</v>
      </c>
      <c r="G156" t="s">
        <v>19</v>
      </c>
      <c r="H156" t="s">
        <v>20</v>
      </c>
      <c r="I156" t="s">
        <v>258</v>
      </c>
    </row>
    <row r="157" spans="1:9" x14ac:dyDescent="0.25">
      <c r="A157" t="s">
        <v>180</v>
      </c>
      <c r="B157" t="s">
        <v>16</v>
      </c>
      <c r="C157" t="s">
        <v>25</v>
      </c>
      <c r="D157" s="1">
        <v>45169</v>
      </c>
      <c r="E157" t="s">
        <v>18</v>
      </c>
      <c r="F157" t="s">
        <v>23</v>
      </c>
      <c r="G157" t="s">
        <v>33</v>
      </c>
      <c r="H157" t="s">
        <v>20</v>
      </c>
      <c r="I157" t="s">
        <v>259</v>
      </c>
    </row>
    <row r="158" spans="1:9" x14ac:dyDescent="0.25">
      <c r="A158" t="s">
        <v>181</v>
      </c>
      <c r="B158" t="s">
        <v>9</v>
      </c>
      <c r="C158" t="s">
        <v>27</v>
      </c>
      <c r="D158" s="1">
        <v>45146</v>
      </c>
      <c r="E158" t="s">
        <v>11</v>
      </c>
      <c r="F158" t="s">
        <v>23</v>
      </c>
      <c r="G158" t="s">
        <v>19</v>
      </c>
      <c r="H158" t="s">
        <v>14</v>
      </c>
      <c r="I158" t="s">
        <v>256</v>
      </c>
    </row>
    <row r="159" spans="1:9" x14ac:dyDescent="0.25">
      <c r="A159" t="s">
        <v>182</v>
      </c>
      <c r="B159" t="s">
        <v>9</v>
      </c>
      <c r="C159" t="s">
        <v>29</v>
      </c>
      <c r="D159" s="1">
        <v>45151</v>
      </c>
      <c r="E159" t="s">
        <v>18</v>
      </c>
      <c r="F159" t="s">
        <v>12</v>
      </c>
      <c r="G159" t="s">
        <v>19</v>
      </c>
      <c r="H159" t="s">
        <v>14</v>
      </c>
      <c r="I159" t="s">
        <v>256</v>
      </c>
    </row>
    <row r="160" spans="1:9" x14ac:dyDescent="0.25">
      <c r="A160" t="s">
        <v>183</v>
      </c>
      <c r="B160" t="s">
        <v>16</v>
      </c>
      <c r="C160" t="s">
        <v>10</v>
      </c>
      <c r="D160" s="1">
        <v>45156</v>
      </c>
      <c r="E160" t="s">
        <v>11</v>
      </c>
      <c r="F160" t="s">
        <v>12</v>
      </c>
      <c r="G160" t="s">
        <v>13</v>
      </c>
      <c r="H160" t="s">
        <v>14</v>
      </c>
      <c r="I160" t="s">
        <v>257</v>
      </c>
    </row>
    <row r="161" spans="1:9" x14ac:dyDescent="0.25">
      <c r="A161" t="s">
        <v>184</v>
      </c>
      <c r="B161" t="s">
        <v>9</v>
      </c>
      <c r="C161" t="s">
        <v>25</v>
      </c>
      <c r="D161" s="1">
        <v>45161</v>
      </c>
      <c r="E161" t="s">
        <v>18</v>
      </c>
      <c r="F161" t="s">
        <v>23</v>
      </c>
      <c r="G161" t="s">
        <v>19</v>
      </c>
      <c r="H161" t="s">
        <v>20</v>
      </c>
      <c r="I161" t="s">
        <v>258</v>
      </c>
    </row>
    <row r="162" spans="1:9" x14ac:dyDescent="0.25">
      <c r="A162" t="s">
        <v>185</v>
      </c>
      <c r="B162" t="s">
        <v>16</v>
      </c>
      <c r="C162" t="s">
        <v>27</v>
      </c>
      <c r="D162" s="1">
        <v>45166</v>
      </c>
      <c r="E162" t="s">
        <v>18</v>
      </c>
      <c r="F162" t="s">
        <v>12</v>
      </c>
      <c r="G162" t="s">
        <v>13</v>
      </c>
      <c r="H162" t="s">
        <v>14</v>
      </c>
      <c r="I162" t="s">
        <v>259</v>
      </c>
    </row>
    <row r="163" spans="1:9" x14ac:dyDescent="0.25">
      <c r="A163" t="s">
        <v>186</v>
      </c>
      <c r="B163" t="s">
        <v>9</v>
      </c>
      <c r="C163" t="s">
        <v>29</v>
      </c>
      <c r="D163" s="1">
        <v>45144</v>
      </c>
      <c r="E163" t="s">
        <v>11</v>
      </c>
      <c r="F163" t="s">
        <v>23</v>
      </c>
      <c r="G163" t="s">
        <v>19</v>
      </c>
      <c r="H163" t="s">
        <v>14</v>
      </c>
      <c r="I163" t="s">
        <v>255</v>
      </c>
    </row>
    <row r="164" spans="1:9" x14ac:dyDescent="0.25">
      <c r="A164" t="s">
        <v>187</v>
      </c>
      <c r="B164" t="s">
        <v>16</v>
      </c>
      <c r="C164" t="s">
        <v>10</v>
      </c>
      <c r="D164" s="1">
        <v>45149</v>
      </c>
      <c r="E164" t="s">
        <v>18</v>
      </c>
      <c r="F164" t="s">
        <v>12</v>
      </c>
      <c r="G164" t="s">
        <v>13</v>
      </c>
      <c r="H164" t="s">
        <v>14</v>
      </c>
      <c r="I164" t="s">
        <v>256</v>
      </c>
    </row>
    <row r="165" spans="1:9" x14ac:dyDescent="0.25">
      <c r="A165" t="s">
        <v>188</v>
      </c>
      <c r="B165" t="s">
        <v>9</v>
      </c>
      <c r="C165" t="s">
        <v>25</v>
      </c>
      <c r="D165" s="1">
        <v>45154</v>
      </c>
      <c r="E165" t="s">
        <v>11</v>
      </c>
      <c r="F165" t="s">
        <v>12</v>
      </c>
      <c r="G165" t="s">
        <v>13</v>
      </c>
      <c r="H165" t="s">
        <v>14</v>
      </c>
      <c r="I165" t="s">
        <v>257</v>
      </c>
    </row>
    <row r="166" spans="1:9" x14ac:dyDescent="0.25">
      <c r="A166" t="s">
        <v>189</v>
      </c>
      <c r="B166" t="s">
        <v>16</v>
      </c>
      <c r="C166" t="s">
        <v>27</v>
      </c>
      <c r="D166" s="1">
        <v>45159</v>
      </c>
      <c r="E166" t="s">
        <v>18</v>
      </c>
      <c r="F166" t="s">
        <v>23</v>
      </c>
      <c r="G166" t="s">
        <v>33</v>
      </c>
      <c r="H166" t="s">
        <v>20</v>
      </c>
      <c r="I166" t="s">
        <v>258</v>
      </c>
    </row>
    <row r="167" spans="1:9" x14ac:dyDescent="0.25">
      <c r="A167" t="s">
        <v>190</v>
      </c>
      <c r="B167" t="s">
        <v>9</v>
      </c>
      <c r="C167" t="s">
        <v>29</v>
      </c>
      <c r="D167" s="1">
        <v>45164</v>
      </c>
      <c r="E167" t="s">
        <v>11</v>
      </c>
      <c r="F167" t="s">
        <v>12</v>
      </c>
      <c r="G167" t="s">
        <v>19</v>
      </c>
      <c r="H167" t="s">
        <v>14</v>
      </c>
      <c r="I167" t="s">
        <v>258</v>
      </c>
    </row>
    <row r="168" spans="1:9" x14ac:dyDescent="0.25">
      <c r="A168" t="s">
        <v>191</v>
      </c>
      <c r="B168" t="s">
        <v>16</v>
      </c>
      <c r="C168" t="s">
        <v>10</v>
      </c>
      <c r="D168" s="1">
        <v>45169</v>
      </c>
      <c r="E168" t="s">
        <v>18</v>
      </c>
      <c r="F168" t="s">
        <v>12</v>
      </c>
      <c r="G168" t="s">
        <v>13</v>
      </c>
      <c r="H168" t="s">
        <v>14</v>
      </c>
      <c r="I168" t="s">
        <v>259</v>
      </c>
    </row>
    <row r="169" spans="1:9" x14ac:dyDescent="0.25">
      <c r="A169" t="s">
        <v>192</v>
      </c>
      <c r="B169" t="s">
        <v>9</v>
      </c>
      <c r="C169" t="s">
        <v>25</v>
      </c>
      <c r="D169" s="1">
        <v>45145</v>
      </c>
      <c r="E169" t="s">
        <v>11</v>
      </c>
      <c r="F169" t="s">
        <v>23</v>
      </c>
      <c r="G169" t="s">
        <v>19</v>
      </c>
      <c r="H169" t="s">
        <v>20</v>
      </c>
      <c r="I169" t="s">
        <v>256</v>
      </c>
    </row>
    <row r="170" spans="1:9" x14ac:dyDescent="0.25">
      <c r="A170" t="s">
        <v>193</v>
      </c>
      <c r="B170" t="s">
        <v>16</v>
      </c>
      <c r="C170" t="s">
        <v>27</v>
      </c>
      <c r="D170" s="1">
        <v>45150</v>
      </c>
      <c r="E170" t="s">
        <v>18</v>
      </c>
      <c r="F170" t="s">
        <v>23</v>
      </c>
      <c r="G170" t="s">
        <v>19</v>
      </c>
      <c r="H170" t="s">
        <v>14</v>
      </c>
      <c r="I170" t="s">
        <v>256</v>
      </c>
    </row>
    <row r="171" spans="1:9" x14ac:dyDescent="0.25">
      <c r="A171" t="s">
        <v>194</v>
      </c>
      <c r="B171" t="s">
        <v>9</v>
      </c>
      <c r="C171" t="s">
        <v>29</v>
      </c>
      <c r="D171" s="1">
        <v>45155</v>
      </c>
      <c r="E171" t="s">
        <v>18</v>
      </c>
      <c r="F171" t="s">
        <v>12</v>
      </c>
      <c r="G171" t="s">
        <v>13</v>
      </c>
      <c r="H171" t="s">
        <v>14</v>
      </c>
      <c r="I171" t="s">
        <v>257</v>
      </c>
    </row>
    <row r="172" spans="1:9" x14ac:dyDescent="0.25">
      <c r="A172" t="s">
        <v>195</v>
      </c>
      <c r="B172" t="s">
        <v>16</v>
      </c>
      <c r="C172" t="s">
        <v>10</v>
      </c>
      <c r="D172" s="1">
        <v>45160</v>
      </c>
      <c r="E172" t="s">
        <v>11</v>
      </c>
      <c r="F172" t="s">
        <v>12</v>
      </c>
      <c r="G172" t="s">
        <v>13</v>
      </c>
      <c r="H172" t="s">
        <v>14</v>
      </c>
      <c r="I172" t="s">
        <v>258</v>
      </c>
    </row>
    <row r="173" spans="1:9" x14ac:dyDescent="0.25">
      <c r="A173" t="s">
        <v>196</v>
      </c>
      <c r="B173" t="s">
        <v>9</v>
      </c>
      <c r="C173" t="s">
        <v>25</v>
      </c>
      <c r="D173" s="1">
        <v>45165</v>
      </c>
      <c r="E173" t="s">
        <v>18</v>
      </c>
      <c r="F173" t="s">
        <v>23</v>
      </c>
      <c r="G173" t="s">
        <v>33</v>
      </c>
      <c r="H173" t="s">
        <v>14</v>
      </c>
      <c r="I173" t="s">
        <v>258</v>
      </c>
    </row>
    <row r="174" spans="1:9" x14ac:dyDescent="0.25">
      <c r="A174" t="s">
        <v>197</v>
      </c>
      <c r="B174" t="s">
        <v>16</v>
      </c>
      <c r="C174" t="s">
        <v>27</v>
      </c>
      <c r="D174" s="1">
        <v>45141</v>
      </c>
      <c r="E174" t="s">
        <v>11</v>
      </c>
      <c r="F174" t="s">
        <v>12</v>
      </c>
      <c r="G174" t="s">
        <v>13</v>
      </c>
      <c r="H174" t="s">
        <v>14</v>
      </c>
      <c r="I174" t="s">
        <v>255</v>
      </c>
    </row>
    <row r="175" spans="1:9" x14ac:dyDescent="0.25">
      <c r="A175" t="s">
        <v>198</v>
      </c>
      <c r="B175" t="s">
        <v>9</v>
      </c>
      <c r="C175" t="s">
        <v>29</v>
      </c>
      <c r="D175" s="1">
        <v>45146</v>
      </c>
      <c r="E175" t="s">
        <v>18</v>
      </c>
      <c r="F175" t="s">
        <v>23</v>
      </c>
      <c r="G175" t="s">
        <v>19</v>
      </c>
      <c r="H175" t="s">
        <v>14</v>
      </c>
      <c r="I175" t="s">
        <v>256</v>
      </c>
    </row>
    <row r="176" spans="1:9" x14ac:dyDescent="0.25">
      <c r="A176" t="s">
        <v>199</v>
      </c>
      <c r="B176" t="s">
        <v>16</v>
      </c>
      <c r="C176" t="s">
        <v>10</v>
      </c>
      <c r="D176" s="1">
        <v>45151</v>
      </c>
      <c r="E176" t="s">
        <v>11</v>
      </c>
      <c r="F176" t="s">
        <v>12</v>
      </c>
      <c r="G176" t="s">
        <v>13</v>
      </c>
      <c r="H176" t="s">
        <v>20</v>
      </c>
      <c r="I176" t="s">
        <v>256</v>
      </c>
    </row>
    <row r="177" spans="1:9" x14ac:dyDescent="0.25">
      <c r="A177" t="s">
        <v>200</v>
      </c>
      <c r="B177" t="s">
        <v>9</v>
      </c>
      <c r="C177" t="s">
        <v>25</v>
      </c>
      <c r="D177" s="1">
        <v>45156</v>
      </c>
      <c r="E177" t="s">
        <v>18</v>
      </c>
      <c r="F177" t="s">
        <v>12</v>
      </c>
      <c r="G177" t="s">
        <v>19</v>
      </c>
      <c r="H177" t="s">
        <v>14</v>
      </c>
      <c r="I177" t="s">
        <v>257</v>
      </c>
    </row>
    <row r="178" spans="1:9" x14ac:dyDescent="0.25">
      <c r="A178" t="s">
        <v>201</v>
      </c>
      <c r="B178" t="s">
        <v>16</v>
      </c>
      <c r="C178" t="s">
        <v>27</v>
      </c>
      <c r="D178" s="1">
        <v>45161</v>
      </c>
      <c r="E178" t="s">
        <v>11</v>
      </c>
      <c r="F178" t="s">
        <v>23</v>
      </c>
      <c r="G178" t="s">
        <v>13</v>
      </c>
      <c r="H178" t="s">
        <v>14</v>
      </c>
      <c r="I178" t="s">
        <v>258</v>
      </c>
    </row>
    <row r="179" spans="1:9" x14ac:dyDescent="0.25">
      <c r="A179" t="s">
        <v>202</v>
      </c>
      <c r="B179" t="s">
        <v>9</v>
      </c>
      <c r="C179" t="s">
        <v>29</v>
      </c>
      <c r="D179" s="1">
        <v>45166</v>
      </c>
      <c r="E179" t="s">
        <v>18</v>
      </c>
      <c r="F179" t="s">
        <v>12</v>
      </c>
      <c r="G179" t="s">
        <v>19</v>
      </c>
      <c r="H179" t="s">
        <v>14</v>
      </c>
      <c r="I179" t="s">
        <v>259</v>
      </c>
    </row>
    <row r="180" spans="1:9" x14ac:dyDescent="0.25">
      <c r="A180" t="s">
        <v>203</v>
      </c>
      <c r="B180" t="s">
        <v>16</v>
      </c>
      <c r="C180" t="s">
        <v>10</v>
      </c>
      <c r="D180" s="1">
        <v>45142</v>
      </c>
      <c r="E180" t="s">
        <v>11</v>
      </c>
      <c r="F180" t="s">
        <v>12</v>
      </c>
      <c r="G180" t="s">
        <v>13</v>
      </c>
      <c r="H180" t="s">
        <v>14</v>
      </c>
      <c r="I180" t="s">
        <v>255</v>
      </c>
    </row>
    <row r="181" spans="1:9" x14ac:dyDescent="0.25">
      <c r="A181" t="s">
        <v>204</v>
      </c>
      <c r="B181" t="s">
        <v>9</v>
      </c>
      <c r="C181" t="s">
        <v>25</v>
      </c>
      <c r="D181" s="1">
        <v>45147</v>
      </c>
      <c r="E181" t="s">
        <v>18</v>
      </c>
      <c r="F181" t="s">
        <v>23</v>
      </c>
      <c r="G181" t="s">
        <v>19</v>
      </c>
      <c r="H181" t="s">
        <v>14</v>
      </c>
      <c r="I181" t="s">
        <v>256</v>
      </c>
    </row>
    <row r="182" spans="1:9" x14ac:dyDescent="0.25">
      <c r="A182" t="s">
        <v>205</v>
      </c>
      <c r="B182" t="s">
        <v>16</v>
      </c>
      <c r="C182" t="s">
        <v>27</v>
      </c>
      <c r="D182" s="1">
        <v>45152</v>
      </c>
      <c r="E182" t="s">
        <v>11</v>
      </c>
      <c r="F182" t="s">
        <v>12</v>
      </c>
      <c r="G182" t="s">
        <v>13</v>
      </c>
      <c r="H182" t="s">
        <v>14</v>
      </c>
      <c r="I182" t="s">
        <v>257</v>
      </c>
    </row>
    <row r="183" spans="1:9" x14ac:dyDescent="0.25">
      <c r="A183" t="s">
        <v>206</v>
      </c>
      <c r="B183" t="s">
        <v>9</v>
      </c>
      <c r="C183" t="s">
        <v>29</v>
      </c>
      <c r="D183" s="1">
        <v>45157</v>
      </c>
      <c r="E183" t="s">
        <v>18</v>
      </c>
      <c r="F183" t="s">
        <v>23</v>
      </c>
      <c r="G183" t="s">
        <v>19</v>
      </c>
      <c r="H183" t="s">
        <v>20</v>
      </c>
      <c r="I183" t="s">
        <v>257</v>
      </c>
    </row>
    <row r="184" spans="1:9" x14ac:dyDescent="0.25">
      <c r="A184" t="s">
        <v>207</v>
      </c>
      <c r="B184" t="s">
        <v>16</v>
      </c>
      <c r="C184" t="s">
        <v>10</v>
      </c>
      <c r="D184" s="1">
        <v>45162</v>
      </c>
      <c r="E184" t="s">
        <v>11</v>
      </c>
      <c r="F184" t="s">
        <v>12</v>
      </c>
      <c r="G184" t="s">
        <v>13</v>
      </c>
      <c r="H184" t="s">
        <v>14</v>
      </c>
      <c r="I184" t="s">
        <v>258</v>
      </c>
    </row>
    <row r="185" spans="1:9" x14ac:dyDescent="0.25">
      <c r="A185" t="s">
        <v>208</v>
      </c>
      <c r="B185" t="s">
        <v>9</v>
      </c>
      <c r="C185" t="s">
        <v>25</v>
      </c>
      <c r="D185" s="1">
        <v>45167</v>
      </c>
      <c r="E185" t="s">
        <v>18</v>
      </c>
      <c r="F185" t="s">
        <v>12</v>
      </c>
      <c r="G185" t="s">
        <v>13</v>
      </c>
      <c r="H185" t="s">
        <v>14</v>
      </c>
      <c r="I185" t="s">
        <v>259</v>
      </c>
    </row>
    <row r="186" spans="1:9" x14ac:dyDescent="0.25">
      <c r="A186" t="s">
        <v>209</v>
      </c>
      <c r="B186" t="s">
        <v>16</v>
      </c>
      <c r="C186" t="s">
        <v>27</v>
      </c>
      <c r="D186" s="1">
        <v>45140</v>
      </c>
      <c r="E186" t="s">
        <v>11</v>
      </c>
      <c r="F186" t="s">
        <v>23</v>
      </c>
      <c r="G186" t="s">
        <v>19</v>
      </c>
      <c r="H186" t="s">
        <v>14</v>
      </c>
      <c r="I186" t="s">
        <v>255</v>
      </c>
    </row>
    <row r="187" spans="1:9" x14ac:dyDescent="0.25">
      <c r="A187" t="s">
        <v>210</v>
      </c>
      <c r="B187" t="s">
        <v>9</v>
      </c>
      <c r="C187" t="s">
        <v>29</v>
      </c>
      <c r="D187" s="1">
        <v>45145</v>
      </c>
      <c r="E187" t="s">
        <v>18</v>
      </c>
      <c r="F187" t="s">
        <v>12</v>
      </c>
      <c r="G187" t="s">
        <v>13</v>
      </c>
      <c r="H187" t="s">
        <v>14</v>
      </c>
      <c r="I187" t="s">
        <v>256</v>
      </c>
    </row>
    <row r="188" spans="1:9" x14ac:dyDescent="0.25">
      <c r="A188" t="s">
        <v>211</v>
      </c>
      <c r="B188" t="s">
        <v>16</v>
      </c>
      <c r="C188" t="s">
        <v>10</v>
      </c>
      <c r="D188" s="1">
        <v>45150</v>
      </c>
      <c r="E188" t="s">
        <v>11</v>
      </c>
      <c r="F188" t="s">
        <v>12</v>
      </c>
      <c r="G188" t="s">
        <v>19</v>
      </c>
      <c r="H188" t="s">
        <v>20</v>
      </c>
      <c r="I188" t="s">
        <v>256</v>
      </c>
    </row>
    <row r="189" spans="1:9" x14ac:dyDescent="0.25">
      <c r="A189" t="s">
        <v>212</v>
      </c>
      <c r="B189" t="s">
        <v>9</v>
      </c>
      <c r="C189" t="s">
        <v>25</v>
      </c>
      <c r="D189" s="1">
        <v>45155</v>
      </c>
      <c r="E189" t="s">
        <v>18</v>
      </c>
      <c r="F189" t="s">
        <v>23</v>
      </c>
      <c r="G189" t="s">
        <v>19</v>
      </c>
      <c r="H189" t="s">
        <v>14</v>
      </c>
      <c r="I189" t="s">
        <v>257</v>
      </c>
    </row>
    <row r="190" spans="1:9" x14ac:dyDescent="0.25">
      <c r="A190" t="s">
        <v>213</v>
      </c>
      <c r="B190" t="s">
        <v>16</v>
      </c>
      <c r="C190" t="s">
        <v>27</v>
      </c>
      <c r="D190" s="1">
        <v>45160</v>
      </c>
      <c r="E190" t="s">
        <v>11</v>
      </c>
      <c r="F190" t="s">
        <v>12</v>
      </c>
      <c r="G190" t="s">
        <v>13</v>
      </c>
      <c r="H190" t="s">
        <v>14</v>
      </c>
      <c r="I190" t="s">
        <v>258</v>
      </c>
    </row>
    <row r="191" spans="1:9" x14ac:dyDescent="0.25">
      <c r="A191" t="s">
        <v>214</v>
      </c>
      <c r="B191" t="s">
        <v>9</v>
      </c>
      <c r="C191" t="s">
        <v>29</v>
      </c>
      <c r="D191" s="1">
        <v>45165</v>
      </c>
      <c r="E191" t="s">
        <v>18</v>
      </c>
      <c r="F191" t="s">
        <v>23</v>
      </c>
      <c r="G191" t="s">
        <v>13</v>
      </c>
      <c r="H191" t="s">
        <v>14</v>
      </c>
      <c r="I191" t="s">
        <v>258</v>
      </c>
    </row>
    <row r="192" spans="1:9" x14ac:dyDescent="0.25">
      <c r="A192" t="s">
        <v>215</v>
      </c>
      <c r="B192" t="s">
        <v>16</v>
      </c>
      <c r="C192" t="s">
        <v>10</v>
      </c>
      <c r="D192" s="1">
        <v>45143</v>
      </c>
      <c r="E192" t="s">
        <v>11</v>
      </c>
      <c r="F192" t="s">
        <v>12</v>
      </c>
      <c r="G192" t="s">
        <v>19</v>
      </c>
      <c r="H192" t="s">
        <v>14</v>
      </c>
      <c r="I192" t="s">
        <v>255</v>
      </c>
    </row>
    <row r="193" spans="1:9" x14ac:dyDescent="0.25">
      <c r="A193" t="s">
        <v>216</v>
      </c>
      <c r="B193" t="s">
        <v>9</v>
      </c>
      <c r="C193" t="s">
        <v>25</v>
      </c>
      <c r="D193" s="1">
        <v>45148</v>
      </c>
      <c r="E193" t="s">
        <v>18</v>
      </c>
      <c r="F193" t="s">
        <v>12</v>
      </c>
      <c r="G193" t="s">
        <v>13</v>
      </c>
      <c r="H193" t="s">
        <v>14</v>
      </c>
      <c r="I193" t="s">
        <v>256</v>
      </c>
    </row>
    <row r="194" spans="1:9" x14ac:dyDescent="0.25">
      <c r="A194" t="s">
        <v>217</v>
      </c>
      <c r="B194" t="s">
        <v>16</v>
      </c>
      <c r="C194" t="s">
        <v>27</v>
      </c>
      <c r="D194" s="1">
        <v>45153</v>
      </c>
      <c r="E194" t="s">
        <v>11</v>
      </c>
      <c r="F194" t="s">
        <v>23</v>
      </c>
      <c r="G194" t="s">
        <v>19</v>
      </c>
      <c r="H194" t="s">
        <v>14</v>
      </c>
      <c r="I194" t="s">
        <v>257</v>
      </c>
    </row>
    <row r="195" spans="1:9" x14ac:dyDescent="0.25">
      <c r="A195" t="s">
        <v>218</v>
      </c>
      <c r="B195" t="s">
        <v>9</v>
      </c>
      <c r="C195" t="s">
        <v>29</v>
      </c>
      <c r="D195" s="1">
        <v>45158</v>
      </c>
      <c r="E195" t="s">
        <v>18</v>
      </c>
      <c r="F195" t="s">
        <v>12</v>
      </c>
      <c r="G195" t="s">
        <v>19</v>
      </c>
      <c r="H195" t="s">
        <v>20</v>
      </c>
      <c r="I195" t="s">
        <v>257</v>
      </c>
    </row>
    <row r="196" spans="1:9" x14ac:dyDescent="0.25">
      <c r="A196" t="s">
        <v>219</v>
      </c>
      <c r="B196" t="s">
        <v>16</v>
      </c>
      <c r="C196" t="s">
        <v>10</v>
      </c>
      <c r="D196" s="1">
        <v>45163</v>
      </c>
      <c r="E196" t="s">
        <v>11</v>
      </c>
      <c r="F196" t="s">
        <v>12</v>
      </c>
      <c r="G196" t="s">
        <v>13</v>
      </c>
      <c r="H196" t="s">
        <v>14</v>
      </c>
      <c r="I196" t="s">
        <v>258</v>
      </c>
    </row>
    <row r="197" spans="1:9" x14ac:dyDescent="0.25">
      <c r="A197" t="s">
        <v>220</v>
      </c>
      <c r="B197" t="s">
        <v>9</v>
      </c>
      <c r="C197" t="s">
        <v>25</v>
      </c>
      <c r="D197" s="1">
        <v>45168</v>
      </c>
      <c r="E197" t="s">
        <v>18</v>
      </c>
      <c r="F197" t="s">
        <v>23</v>
      </c>
      <c r="G197" t="s">
        <v>19</v>
      </c>
      <c r="H197" t="s">
        <v>14</v>
      </c>
      <c r="I197" t="s">
        <v>259</v>
      </c>
    </row>
    <row r="198" spans="1:9" x14ac:dyDescent="0.25">
      <c r="A198" t="s">
        <v>221</v>
      </c>
      <c r="B198" t="s">
        <v>16</v>
      </c>
      <c r="C198" t="s">
        <v>27</v>
      </c>
      <c r="D198" s="1">
        <v>45139</v>
      </c>
      <c r="E198" t="s">
        <v>18</v>
      </c>
      <c r="F198" t="s">
        <v>12</v>
      </c>
      <c r="G198" t="s">
        <v>13</v>
      </c>
      <c r="H198" t="s">
        <v>20</v>
      </c>
      <c r="I198" t="s">
        <v>255</v>
      </c>
    </row>
    <row r="199" spans="1:9" x14ac:dyDescent="0.25">
      <c r="A199" t="s">
        <v>222</v>
      </c>
      <c r="B199" t="s">
        <v>9</v>
      </c>
      <c r="C199" t="s">
        <v>29</v>
      </c>
      <c r="D199" s="1">
        <v>45144</v>
      </c>
      <c r="E199" t="s">
        <v>11</v>
      </c>
      <c r="F199" t="s">
        <v>23</v>
      </c>
      <c r="G199" t="s">
        <v>19</v>
      </c>
      <c r="H199" t="s">
        <v>14</v>
      </c>
      <c r="I199" t="s">
        <v>255</v>
      </c>
    </row>
    <row r="200" spans="1:9" x14ac:dyDescent="0.25">
      <c r="A200" t="s">
        <v>223</v>
      </c>
      <c r="B200" t="s">
        <v>16</v>
      </c>
      <c r="C200" t="s">
        <v>10</v>
      </c>
      <c r="D200" s="1">
        <v>45149</v>
      </c>
      <c r="E200" t="s">
        <v>18</v>
      </c>
      <c r="F200" t="s">
        <v>12</v>
      </c>
      <c r="G200" t="s">
        <v>13</v>
      </c>
      <c r="H200" t="s">
        <v>14</v>
      </c>
      <c r="I200" t="s">
        <v>256</v>
      </c>
    </row>
    <row r="201" spans="1:9" x14ac:dyDescent="0.25">
      <c r="A201" t="s">
        <v>224</v>
      </c>
      <c r="B201" t="s">
        <v>9</v>
      </c>
      <c r="C201" t="s">
        <v>25</v>
      </c>
      <c r="D201" s="1">
        <v>45154</v>
      </c>
      <c r="E201" t="s">
        <v>11</v>
      </c>
      <c r="F201" t="s">
        <v>12</v>
      </c>
      <c r="G201" t="s">
        <v>13</v>
      </c>
      <c r="H201" t="s">
        <v>14</v>
      </c>
      <c r="I201" t="s">
        <v>257</v>
      </c>
    </row>
    <row r="202" spans="1:9" x14ac:dyDescent="0.25">
      <c r="A202" t="s">
        <v>225</v>
      </c>
      <c r="B202" t="s">
        <v>9</v>
      </c>
      <c r="C202" t="s">
        <v>29</v>
      </c>
      <c r="D202" s="1">
        <v>45159</v>
      </c>
      <c r="E202" t="s">
        <v>18</v>
      </c>
      <c r="F202" t="s">
        <v>12</v>
      </c>
      <c r="G202" t="s">
        <v>13</v>
      </c>
      <c r="H202" t="s">
        <v>20</v>
      </c>
      <c r="I202" t="s">
        <v>258</v>
      </c>
    </row>
    <row r="203" spans="1:9" x14ac:dyDescent="0.25">
      <c r="A203" t="s">
        <v>226</v>
      </c>
      <c r="B203" t="s">
        <v>16</v>
      </c>
      <c r="C203" t="s">
        <v>10</v>
      </c>
      <c r="D203" s="1">
        <v>45164</v>
      </c>
      <c r="E203" t="s">
        <v>11</v>
      </c>
      <c r="F203" t="s">
        <v>12</v>
      </c>
      <c r="G203" t="s">
        <v>19</v>
      </c>
      <c r="H203" t="s">
        <v>14</v>
      </c>
      <c r="I203" t="s">
        <v>258</v>
      </c>
    </row>
    <row r="204" spans="1:9" x14ac:dyDescent="0.25">
      <c r="A204" t="s">
        <v>227</v>
      </c>
      <c r="B204" t="s">
        <v>9</v>
      </c>
      <c r="C204" t="s">
        <v>25</v>
      </c>
      <c r="D204" s="1">
        <v>45169</v>
      </c>
      <c r="E204" t="s">
        <v>18</v>
      </c>
      <c r="F204" t="s">
        <v>23</v>
      </c>
      <c r="G204" t="s">
        <v>33</v>
      </c>
      <c r="H204" t="s">
        <v>20</v>
      </c>
      <c r="I204" t="s">
        <v>259</v>
      </c>
    </row>
    <row r="205" spans="1:9" x14ac:dyDescent="0.25">
      <c r="A205" t="s">
        <v>228</v>
      </c>
      <c r="B205" t="s">
        <v>16</v>
      </c>
      <c r="C205" t="s">
        <v>27</v>
      </c>
      <c r="D205" s="1">
        <v>45146</v>
      </c>
      <c r="E205" t="s">
        <v>11</v>
      </c>
      <c r="F205" t="s">
        <v>23</v>
      </c>
      <c r="G205" t="s">
        <v>19</v>
      </c>
      <c r="H205" t="s">
        <v>14</v>
      </c>
      <c r="I205" t="s">
        <v>256</v>
      </c>
    </row>
    <row r="206" spans="1:9" x14ac:dyDescent="0.25">
      <c r="A206" t="s">
        <v>229</v>
      </c>
      <c r="B206" t="s">
        <v>9</v>
      </c>
      <c r="C206" t="s">
        <v>29</v>
      </c>
      <c r="D206" s="1">
        <v>45151</v>
      </c>
      <c r="E206" t="s">
        <v>18</v>
      </c>
      <c r="F206" t="s">
        <v>12</v>
      </c>
      <c r="G206" t="s">
        <v>19</v>
      </c>
      <c r="H206" t="s">
        <v>14</v>
      </c>
      <c r="I206" t="s">
        <v>256</v>
      </c>
    </row>
    <row r="207" spans="1:9" x14ac:dyDescent="0.25">
      <c r="A207" t="s">
        <v>230</v>
      </c>
      <c r="B207" t="s">
        <v>16</v>
      </c>
      <c r="C207" t="s">
        <v>10</v>
      </c>
      <c r="D207" s="1">
        <v>45156</v>
      </c>
      <c r="E207" t="s">
        <v>11</v>
      </c>
      <c r="F207" t="s">
        <v>12</v>
      </c>
      <c r="G207" t="s">
        <v>13</v>
      </c>
      <c r="H207" t="s">
        <v>14</v>
      </c>
      <c r="I207" t="s">
        <v>257</v>
      </c>
    </row>
    <row r="208" spans="1:9" x14ac:dyDescent="0.25">
      <c r="A208" t="s">
        <v>231</v>
      </c>
      <c r="B208" t="s">
        <v>9</v>
      </c>
      <c r="C208" t="s">
        <v>25</v>
      </c>
      <c r="D208" s="1">
        <v>45161</v>
      </c>
      <c r="E208" t="s">
        <v>18</v>
      </c>
      <c r="F208" t="s">
        <v>23</v>
      </c>
      <c r="G208" t="s">
        <v>19</v>
      </c>
      <c r="H208" t="s">
        <v>20</v>
      </c>
      <c r="I208" t="s">
        <v>258</v>
      </c>
    </row>
    <row r="209" spans="1:9" x14ac:dyDescent="0.25">
      <c r="A209" t="s">
        <v>232</v>
      </c>
      <c r="B209" t="s">
        <v>16</v>
      </c>
      <c r="C209" t="s">
        <v>27</v>
      </c>
      <c r="D209" s="1">
        <v>45166</v>
      </c>
      <c r="E209" t="s">
        <v>18</v>
      </c>
      <c r="F209" t="s">
        <v>12</v>
      </c>
      <c r="G209" t="s">
        <v>13</v>
      </c>
      <c r="H209" t="s">
        <v>14</v>
      </c>
      <c r="I209" t="s">
        <v>259</v>
      </c>
    </row>
    <row r="210" spans="1:9" x14ac:dyDescent="0.25">
      <c r="A210" t="s">
        <v>233</v>
      </c>
      <c r="B210" t="s">
        <v>9</v>
      </c>
      <c r="C210" t="s">
        <v>29</v>
      </c>
      <c r="D210" s="1">
        <v>45144</v>
      </c>
      <c r="E210" t="s">
        <v>11</v>
      </c>
      <c r="F210" t="s">
        <v>23</v>
      </c>
      <c r="G210" t="s">
        <v>19</v>
      </c>
      <c r="H210" t="s">
        <v>14</v>
      </c>
      <c r="I210" t="s">
        <v>255</v>
      </c>
    </row>
    <row r="211" spans="1:9" x14ac:dyDescent="0.25">
      <c r="A211" t="s">
        <v>234</v>
      </c>
      <c r="B211" t="s">
        <v>16</v>
      </c>
      <c r="C211" t="s">
        <v>10</v>
      </c>
      <c r="D211" s="1">
        <v>45149</v>
      </c>
      <c r="E211" t="s">
        <v>18</v>
      </c>
      <c r="F211" t="s">
        <v>12</v>
      </c>
      <c r="G211" t="s">
        <v>13</v>
      </c>
      <c r="H211" t="s">
        <v>14</v>
      </c>
      <c r="I211" t="s">
        <v>256</v>
      </c>
    </row>
    <row r="212" spans="1:9" x14ac:dyDescent="0.25">
      <c r="A212" t="s">
        <v>235</v>
      </c>
      <c r="B212" t="s">
        <v>9</v>
      </c>
      <c r="C212" t="s">
        <v>25</v>
      </c>
      <c r="D212" s="1">
        <v>45154</v>
      </c>
      <c r="E212" t="s">
        <v>11</v>
      </c>
      <c r="F212" t="s">
        <v>12</v>
      </c>
      <c r="G212" t="s">
        <v>13</v>
      </c>
      <c r="H212" t="s">
        <v>14</v>
      </c>
      <c r="I212" t="s">
        <v>257</v>
      </c>
    </row>
    <row r="213" spans="1:9" x14ac:dyDescent="0.25">
      <c r="A213" t="s">
        <v>236</v>
      </c>
      <c r="B213" t="s">
        <v>16</v>
      </c>
      <c r="C213" t="s">
        <v>27</v>
      </c>
      <c r="D213" s="1">
        <v>45159</v>
      </c>
      <c r="E213" t="s">
        <v>18</v>
      </c>
      <c r="F213" t="s">
        <v>23</v>
      </c>
      <c r="G213" t="s">
        <v>33</v>
      </c>
      <c r="H213" t="s">
        <v>20</v>
      </c>
      <c r="I213" t="s">
        <v>258</v>
      </c>
    </row>
    <row r="214" spans="1:9" x14ac:dyDescent="0.25">
      <c r="A214" t="s">
        <v>237</v>
      </c>
      <c r="B214" t="s">
        <v>9</v>
      </c>
      <c r="C214" t="s">
        <v>29</v>
      </c>
      <c r="D214" s="1">
        <v>45164</v>
      </c>
      <c r="E214" t="s">
        <v>11</v>
      </c>
      <c r="F214" t="s">
        <v>12</v>
      </c>
      <c r="G214" t="s">
        <v>19</v>
      </c>
      <c r="H214" t="s">
        <v>14</v>
      </c>
      <c r="I214" t="s">
        <v>258</v>
      </c>
    </row>
    <row r="215" spans="1:9" x14ac:dyDescent="0.25">
      <c r="A215" t="s">
        <v>238</v>
      </c>
      <c r="B215" t="s">
        <v>16</v>
      </c>
      <c r="C215" t="s">
        <v>10</v>
      </c>
      <c r="D215" s="1">
        <v>45169</v>
      </c>
      <c r="E215" t="s">
        <v>18</v>
      </c>
      <c r="F215" t="s">
        <v>12</v>
      </c>
      <c r="G215" t="s">
        <v>13</v>
      </c>
      <c r="H215" t="s">
        <v>14</v>
      </c>
      <c r="I215" t="s">
        <v>259</v>
      </c>
    </row>
    <row r="216" spans="1:9" x14ac:dyDescent="0.25">
      <c r="A216" t="s">
        <v>239</v>
      </c>
      <c r="B216" t="s">
        <v>9</v>
      </c>
      <c r="C216" t="s">
        <v>25</v>
      </c>
      <c r="D216" s="1">
        <v>45145</v>
      </c>
      <c r="E216" t="s">
        <v>11</v>
      </c>
      <c r="F216" t="s">
        <v>23</v>
      </c>
      <c r="G216" t="s">
        <v>19</v>
      </c>
      <c r="H216" t="s">
        <v>20</v>
      </c>
      <c r="I216" t="s">
        <v>256</v>
      </c>
    </row>
    <row r="217" spans="1:9" x14ac:dyDescent="0.25">
      <c r="A217" t="s">
        <v>240</v>
      </c>
      <c r="B217" t="s">
        <v>16</v>
      </c>
      <c r="C217" t="s">
        <v>27</v>
      </c>
      <c r="D217" s="1">
        <v>45150</v>
      </c>
      <c r="E217" t="s">
        <v>18</v>
      </c>
      <c r="F217" t="s">
        <v>23</v>
      </c>
      <c r="G217" t="s">
        <v>19</v>
      </c>
      <c r="H217" t="s">
        <v>14</v>
      </c>
      <c r="I217" t="s">
        <v>256</v>
      </c>
    </row>
    <row r="218" spans="1:9" x14ac:dyDescent="0.25">
      <c r="A218" t="s">
        <v>241</v>
      </c>
      <c r="B218" t="s">
        <v>9</v>
      </c>
      <c r="C218" t="s">
        <v>29</v>
      </c>
      <c r="D218" s="1">
        <v>45155</v>
      </c>
      <c r="E218" t="s">
        <v>18</v>
      </c>
      <c r="F218" t="s">
        <v>12</v>
      </c>
      <c r="G218" t="s">
        <v>13</v>
      </c>
      <c r="H218" t="s">
        <v>14</v>
      </c>
      <c r="I218" t="s">
        <v>257</v>
      </c>
    </row>
    <row r="219" spans="1:9" x14ac:dyDescent="0.25">
      <c r="A219" t="s">
        <v>242</v>
      </c>
      <c r="B219" t="s">
        <v>16</v>
      </c>
      <c r="C219" t="s">
        <v>10</v>
      </c>
      <c r="D219" s="1">
        <v>45160</v>
      </c>
      <c r="E219" t="s">
        <v>11</v>
      </c>
      <c r="F219" t="s">
        <v>12</v>
      </c>
      <c r="G219" t="s">
        <v>13</v>
      </c>
      <c r="H219" t="s">
        <v>14</v>
      </c>
      <c r="I219" t="s">
        <v>258</v>
      </c>
    </row>
    <row r="220" spans="1:9" x14ac:dyDescent="0.25">
      <c r="A220" t="s">
        <v>243</v>
      </c>
      <c r="B220" t="s">
        <v>9</v>
      </c>
      <c r="C220" t="s">
        <v>25</v>
      </c>
      <c r="D220" s="1">
        <v>45165</v>
      </c>
      <c r="E220" t="s">
        <v>18</v>
      </c>
      <c r="F220" t="s">
        <v>23</v>
      </c>
      <c r="G220" t="s">
        <v>33</v>
      </c>
      <c r="H220" t="s">
        <v>14</v>
      </c>
      <c r="I220" t="s">
        <v>258</v>
      </c>
    </row>
    <row r="221" spans="1:9" x14ac:dyDescent="0.25">
      <c r="A221" t="s">
        <v>244</v>
      </c>
      <c r="B221" t="s">
        <v>16</v>
      </c>
      <c r="C221" t="s">
        <v>27</v>
      </c>
      <c r="D221" s="1">
        <v>45141</v>
      </c>
      <c r="E221" t="s">
        <v>11</v>
      </c>
      <c r="F221" t="s">
        <v>12</v>
      </c>
      <c r="G221" t="s">
        <v>13</v>
      </c>
      <c r="H221" t="s">
        <v>14</v>
      </c>
      <c r="I221" t="s">
        <v>255</v>
      </c>
    </row>
    <row r="222" spans="1:9" x14ac:dyDescent="0.25">
      <c r="A222" t="s">
        <v>245</v>
      </c>
      <c r="B222" t="s">
        <v>9</v>
      </c>
      <c r="C222" t="s">
        <v>29</v>
      </c>
      <c r="D222" s="1">
        <v>45146</v>
      </c>
      <c r="E222" t="s">
        <v>18</v>
      </c>
      <c r="F222" t="s">
        <v>23</v>
      </c>
      <c r="G222" t="s">
        <v>19</v>
      </c>
      <c r="H222" t="s">
        <v>14</v>
      </c>
      <c r="I222" t="s">
        <v>256</v>
      </c>
    </row>
    <row r="223" spans="1:9" x14ac:dyDescent="0.25">
      <c r="A223" t="s">
        <v>246</v>
      </c>
      <c r="B223" t="s">
        <v>16</v>
      </c>
      <c r="C223" t="s">
        <v>10</v>
      </c>
      <c r="D223" s="1">
        <v>45151</v>
      </c>
      <c r="E223" t="s">
        <v>11</v>
      </c>
      <c r="F223" t="s">
        <v>12</v>
      </c>
      <c r="G223" t="s">
        <v>13</v>
      </c>
      <c r="H223" t="s">
        <v>20</v>
      </c>
      <c r="I223" t="s">
        <v>256</v>
      </c>
    </row>
    <row r="224" spans="1:9" x14ac:dyDescent="0.25">
      <c r="A224" t="s">
        <v>247</v>
      </c>
      <c r="B224" t="s">
        <v>9</v>
      </c>
      <c r="C224" t="s">
        <v>25</v>
      </c>
      <c r="D224" s="1">
        <v>45156</v>
      </c>
      <c r="E224" t="s">
        <v>18</v>
      </c>
      <c r="F224" t="s">
        <v>12</v>
      </c>
      <c r="G224" t="s">
        <v>19</v>
      </c>
      <c r="H224" t="s">
        <v>14</v>
      </c>
      <c r="I224" t="s">
        <v>257</v>
      </c>
    </row>
    <row r="225" spans="1:9" x14ac:dyDescent="0.25">
      <c r="A225" t="s">
        <v>248</v>
      </c>
      <c r="B225" t="s">
        <v>16</v>
      </c>
      <c r="C225" t="s">
        <v>27</v>
      </c>
      <c r="D225" s="1">
        <v>45161</v>
      </c>
      <c r="E225" t="s">
        <v>11</v>
      </c>
      <c r="F225" t="s">
        <v>23</v>
      </c>
      <c r="G225" t="s">
        <v>13</v>
      </c>
      <c r="H225" t="s">
        <v>14</v>
      </c>
      <c r="I225" t="s">
        <v>258</v>
      </c>
    </row>
    <row r="226" spans="1:9" x14ac:dyDescent="0.25">
      <c r="A226" t="s">
        <v>249</v>
      </c>
      <c r="B226" t="s">
        <v>9</v>
      </c>
      <c r="C226" t="s">
        <v>29</v>
      </c>
      <c r="D226" s="1">
        <v>45166</v>
      </c>
      <c r="E226" t="s">
        <v>18</v>
      </c>
      <c r="F226" t="s">
        <v>12</v>
      </c>
      <c r="G226" t="s">
        <v>19</v>
      </c>
      <c r="H226" t="s">
        <v>14</v>
      </c>
      <c r="I226" t="s">
        <v>259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09C3D-E362-4018-8C46-67402C60F5D3}">
  <dimension ref="A1:U58"/>
  <sheetViews>
    <sheetView showGridLines="0" tabSelected="1" zoomScale="77" zoomScaleNormal="77" workbookViewId="0">
      <selection activeCell="G8" sqref="G8"/>
    </sheetView>
  </sheetViews>
  <sheetFormatPr defaultColWidth="0" defaultRowHeight="15" zeroHeight="1" x14ac:dyDescent="0.25"/>
  <cols>
    <col min="1" max="20" width="9.140625" style="14" customWidth="1"/>
    <col min="21" max="21" width="13.42578125" style="14" customWidth="1"/>
    <col min="22" max="16384" width="9.140625" style="14"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s="14" customFormat="1" x14ac:dyDescent="0.25"/>
    <row r="18" s="14" customFormat="1" x14ac:dyDescent="0.25"/>
    <row r="19" s="14" customFormat="1" x14ac:dyDescent="0.25"/>
    <row r="20" s="14" customFormat="1" x14ac:dyDescent="0.25"/>
    <row r="21" s="14" customFormat="1" x14ac:dyDescent="0.25"/>
    <row r="22" s="14" customFormat="1" x14ac:dyDescent="0.25"/>
    <row r="23" s="14" customFormat="1" x14ac:dyDescent="0.25"/>
    <row r="24" s="14" customFormat="1" x14ac:dyDescent="0.25"/>
    <row r="25" s="14" customFormat="1" x14ac:dyDescent="0.25"/>
    <row r="26" s="14" customFormat="1" x14ac:dyDescent="0.25"/>
    <row r="27" s="14" customFormat="1" x14ac:dyDescent="0.25"/>
    <row r="28" s="14" customFormat="1" x14ac:dyDescent="0.25"/>
    <row r="29" s="14" customFormat="1" x14ac:dyDescent="0.25"/>
    <row r="30" s="14" customFormat="1" x14ac:dyDescent="0.25"/>
    <row r="31" s="14" customFormat="1" x14ac:dyDescent="0.25"/>
    <row r="32" s="14" customFormat="1" x14ac:dyDescent="0.25"/>
    <row r="33" s="14" customFormat="1" x14ac:dyDescent="0.25"/>
    <row r="34" s="14" customFormat="1" x14ac:dyDescent="0.25"/>
    <row r="35" s="14" customFormat="1" hidden="1" x14ac:dyDescent="0.25"/>
    <row r="36" s="14" customFormat="1" hidden="1" x14ac:dyDescent="0.25"/>
    <row r="37" s="14" customFormat="1" hidden="1" x14ac:dyDescent="0.25"/>
    <row r="38" s="14" customFormat="1" hidden="1" x14ac:dyDescent="0.25"/>
    <row r="39" s="14" customFormat="1" hidden="1" x14ac:dyDescent="0.25"/>
    <row r="40" s="14" customFormat="1" hidden="1" x14ac:dyDescent="0.25"/>
    <row r="41" s="14" customFormat="1" hidden="1" x14ac:dyDescent="0.25"/>
    <row r="42" s="14" customFormat="1" hidden="1" x14ac:dyDescent="0.25"/>
    <row r="43" s="14" customFormat="1" hidden="1" x14ac:dyDescent="0.25"/>
    <row r="44" s="14" customFormat="1" hidden="1" x14ac:dyDescent="0.25"/>
    <row r="45" s="14" customFormat="1" hidden="1" x14ac:dyDescent="0.25"/>
    <row r="46" s="14" customFormat="1" hidden="1" x14ac:dyDescent="0.25"/>
    <row r="47" s="14" customFormat="1" hidden="1" x14ac:dyDescent="0.25"/>
    <row r="48"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idden="1" x14ac:dyDescent="0.25"/>
    <row r="55" s="14" customFormat="1" hidden="1" x14ac:dyDescent="0.25"/>
    <row r="56" s="14" customFormat="1" hidden="1" x14ac:dyDescent="0.25"/>
    <row r="57" s="14" customFormat="1" hidden="1" x14ac:dyDescent="0.25"/>
    <row r="58" s="14" customFormat="1"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E091B3-5EB4-4DD9-97DD-459AE037D7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conversion rate</vt:lpstr>
      <vt:lpstr>Salesperson</vt:lpstr>
      <vt:lpstr>Client Gender</vt:lpstr>
      <vt:lpstr>Inspection</vt:lpstr>
      <vt:lpstr>State</vt:lpstr>
      <vt:lpstr>Product Performance</vt:lpstr>
      <vt:lpstr>days</vt:lpstr>
      <vt:lpstr>Week of the Month</vt:lpstr>
      <vt:lpstr>CORRELATION ANALYSIS</vt:lpstr>
      <vt:lpstr>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Uchechi Esomonu</dc:creator>
  <cp:lastModifiedBy>Uchechi Esomonu</cp:lastModifiedBy>
  <dcterms:created xsi:type="dcterms:W3CDTF">2026-08-11T16:05:30Z</dcterms:created>
  <dcterms:modified xsi:type="dcterms:W3CDTF">2026-10-05T16:45:58Z</dcterms:modified>
</cp:coreProperties>
</file>